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DANIEL\Desktop\Semana de la evaluación diagnóstica\Primaria\Captura y calificación\"/>
    </mc:Choice>
  </mc:AlternateContent>
  <bookViews>
    <workbookView xWindow="240" yWindow="60" windowWidth="20115" windowHeight="8010" tabRatio="932"/>
  </bookViews>
  <sheets>
    <sheet name="Instrucciones" sheetId="1" r:id="rId1"/>
    <sheet name="Español por escuela" sheetId="2" r:id="rId2"/>
    <sheet name="Resultados Español" sheetId="10" state="hidden" r:id="rId3"/>
    <sheet name="Especificaciones Español" sheetId="11" state="hidden" r:id="rId4"/>
    <sheet name="Matemáticas por escuela" sheetId="5" r:id="rId5"/>
    <sheet name="Resultados Matemáticas" sheetId="12" state="hidden" r:id="rId6"/>
    <sheet name="Especificaciones Matemáticas" sheetId="13" state="hidden" r:id="rId7"/>
  </sheets>
  <definedNames>
    <definedName name="_xlnm._FilterDatabase" localSheetId="1" hidden="1">'Español por escuela'!$G$1:$G$402</definedName>
    <definedName name="_xlnm._FilterDatabase" localSheetId="4" hidden="1">'Matemáticas por escuela'!$G$1:$G$402</definedName>
    <definedName name="_xlnm._FilterDatabase" localSheetId="2" hidden="1">'Resultados Español'!$A$1:$AS$1</definedName>
    <definedName name="_xlnm._FilterDatabase" localSheetId="5" hidden="1">'Resultados Matemáticas'!$A$1:$AS$1</definedName>
  </definedNames>
  <calcPr calcId="152511"/>
</workbook>
</file>

<file path=xl/calcChain.xml><?xml version="1.0" encoding="utf-8"?>
<calcChain xmlns="http://schemas.openxmlformats.org/spreadsheetml/2006/main">
  <c r="C3" i="12" l="1"/>
  <c r="D3" i="12"/>
  <c r="E3" i="12"/>
  <c r="F3" i="12"/>
  <c r="G3" i="12"/>
  <c r="H3" i="12"/>
  <c r="I3" i="12"/>
  <c r="J3" i="12"/>
  <c r="K3" i="12"/>
  <c r="L3" i="12"/>
  <c r="M3" i="12"/>
  <c r="N3" i="12"/>
  <c r="O3" i="12"/>
  <c r="P3" i="12"/>
  <c r="Q3" i="12"/>
  <c r="R3" i="12"/>
  <c r="S3" i="12"/>
  <c r="T3" i="12"/>
  <c r="U3" i="12"/>
  <c r="V3" i="12"/>
  <c r="W3" i="12"/>
  <c r="X3" i="12"/>
  <c r="Y3" i="12"/>
  <c r="Z3" i="12"/>
  <c r="AA3" i="12"/>
  <c r="AB3" i="12"/>
  <c r="AC3" i="12"/>
  <c r="AD3" i="12"/>
  <c r="AE3" i="12"/>
  <c r="C5" i="12"/>
  <c r="D5" i="12"/>
  <c r="E5" i="12"/>
  <c r="E4" i="12" s="1"/>
  <c r="F5" i="12"/>
  <c r="G5" i="12"/>
  <c r="G4" i="12" s="1"/>
  <c r="H5" i="12"/>
  <c r="H4" i="12" s="1"/>
  <c r="I5" i="12"/>
  <c r="I4" i="12" s="1"/>
  <c r="J5" i="12"/>
  <c r="K5" i="12"/>
  <c r="K4" i="12" s="1"/>
  <c r="L5" i="12"/>
  <c r="L4" i="12" s="1"/>
  <c r="M5" i="12"/>
  <c r="M4" i="12" s="1"/>
  <c r="N5" i="12"/>
  <c r="O5" i="12"/>
  <c r="O4" i="12" s="1"/>
  <c r="P5" i="12"/>
  <c r="P4" i="12" s="1"/>
  <c r="Q5" i="12"/>
  <c r="Q4" i="12" s="1"/>
  <c r="R5" i="12"/>
  <c r="S5" i="12"/>
  <c r="T5" i="12"/>
  <c r="U5" i="12"/>
  <c r="U4" i="12" s="1"/>
  <c r="V5" i="12"/>
  <c r="V4" i="12" s="1"/>
  <c r="W5" i="12"/>
  <c r="W4" i="12" s="1"/>
  <c r="X5" i="12"/>
  <c r="X4" i="12" s="1"/>
  <c r="Y5" i="12"/>
  <c r="Y4" i="12" s="1"/>
  <c r="Z5" i="12"/>
  <c r="Z4" i="12" s="1"/>
  <c r="AA5" i="12"/>
  <c r="AA4" i="12" s="1"/>
  <c r="AB5" i="12"/>
  <c r="AB4" i="12" s="1"/>
  <c r="AC5" i="12"/>
  <c r="AC4" i="12" s="1"/>
  <c r="AD5" i="12"/>
  <c r="AD4" i="12" s="1"/>
  <c r="AE5" i="12"/>
  <c r="AE4" i="12" s="1"/>
  <c r="B5" i="12"/>
  <c r="B3" i="12"/>
  <c r="R4" i="12" l="1"/>
  <c r="T4" i="12"/>
  <c r="S4" i="12"/>
  <c r="B4" i="12"/>
  <c r="D4" i="12"/>
  <c r="C4" i="12"/>
  <c r="N4" i="12"/>
  <c r="F4" i="12"/>
  <c r="J4" i="12"/>
  <c r="C3" i="10"/>
  <c r="D3" i="10"/>
  <c r="E3" i="10"/>
  <c r="F3" i="10"/>
  <c r="G3" i="10"/>
  <c r="H3" i="10"/>
  <c r="I3" i="10"/>
  <c r="J3" i="10"/>
  <c r="K3" i="10"/>
  <c r="L3" i="10"/>
  <c r="M3" i="10"/>
  <c r="N3" i="10"/>
  <c r="O3" i="10"/>
  <c r="P3" i="10"/>
  <c r="Q3" i="10"/>
  <c r="R3" i="10"/>
  <c r="S3" i="10"/>
  <c r="T3" i="10"/>
  <c r="U3" i="10"/>
  <c r="V3" i="10"/>
  <c r="W3" i="10"/>
  <c r="X3" i="10"/>
  <c r="Y3" i="10"/>
  <c r="Z3" i="10"/>
  <c r="AA3" i="10"/>
  <c r="AB3" i="10"/>
  <c r="AC3" i="10"/>
  <c r="AD3" i="10"/>
  <c r="AE3" i="10"/>
  <c r="C5" i="10"/>
  <c r="D5" i="10"/>
  <c r="E5" i="10"/>
  <c r="F5" i="10"/>
  <c r="G5" i="10"/>
  <c r="H5" i="10"/>
  <c r="H4" i="10" s="1"/>
  <c r="I5" i="10"/>
  <c r="J5" i="10"/>
  <c r="J4" i="10" s="1"/>
  <c r="K5" i="10"/>
  <c r="K4" i="10" s="1"/>
  <c r="L5" i="10"/>
  <c r="L4" i="10" s="1"/>
  <c r="M5" i="10"/>
  <c r="M4" i="10" s="1"/>
  <c r="N5" i="10"/>
  <c r="N4" i="10" s="1"/>
  <c r="O5" i="10"/>
  <c r="O4" i="10" s="1"/>
  <c r="P5" i="10"/>
  <c r="P4" i="10" s="1"/>
  <c r="Q5" i="10"/>
  <c r="Q4" i="10" s="1"/>
  <c r="R5" i="10"/>
  <c r="R4" i="10" s="1"/>
  <c r="S5" i="10"/>
  <c r="S4" i="10" s="1"/>
  <c r="T5" i="10"/>
  <c r="T4" i="10" s="1"/>
  <c r="U5" i="10"/>
  <c r="U4" i="10" s="1"/>
  <c r="V5" i="10"/>
  <c r="V4" i="10" s="1"/>
  <c r="W5" i="10"/>
  <c r="W4" i="10" s="1"/>
  <c r="X5" i="10"/>
  <c r="X4" i="10" s="1"/>
  <c r="Y5" i="10"/>
  <c r="Y4" i="10" s="1"/>
  <c r="Z5" i="10"/>
  <c r="Z4" i="10" s="1"/>
  <c r="AA5" i="10"/>
  <c r="AA4" i="10" s="1"/>
  <c r="AB5" i="10"/>
  <c r="AB4" i="10" s="1"/>
  <c r="AC5" i="10"/>
  <c r="AC4" i="10" s="1"/>
  <c r="AD5" i="10"/>
  <c r="AD4" i="10" s="1"/>
  <c r="AE5" i="10"/>
  <c r="AE4" i="10" s="1"/>
  <c r="B5" i="10"/>
  <c r="B4" i="10" s="1"/>
  <c r="B3" i="10"/>
  <c r="I4" i="10" l="1"/>
  <c r="G4" i="10"/>
  <c r="F4" i="10"/>
  <c r="E4" i="10"/>
  <c r="D4" i="10"/>
  <c r="C4" i="10"/>
  <c r="AN24" i="12"/>
  <c r="AP24" i="12" s="1"/>
  <c r="AN20" i="12"/>
  <c r="AP20" i="12" s="1"/>
  <c r="AN16" i="12"/>
  <c r="AP16" i="12" s="1"/>
  <c r="AN13" i="12"/>
  <c r="AP13" i="12" s="1"/>
  <c r="AN9" i="12"/>
  <c r="AP9" i="12" s="1"/>
  <c r="AN8" i="12"/>
  <c r="AP8" i="12" s="1"/>
  <c r="AN7" i="12"/>
  <c r="AP7" i="12" s="1"/>
  <c r="AI3" i="12"/>
  <c r="AE6" i="12"/>
  <c r="AD6" i="12"/>
  <c r="AB6" i="12"/>
  <c r="AA6" i="12"/>
  <c r="Z6" i="12"/>
  <c r="Y6" i="12"/>
  <c r="AN21" i="12"/>
  <c r="AP21" i="12" s="1"/>
  <c r="W6" i="12"/>
  <c r="V6" i="12"/>
  <c r="AN22" i="12"/>
  <c r="AP22" i="12" s="1"/>
  <c r="AN10" i="12"/>
  <c r="AP10" i="12" s="1"/>
  <c r="R6" i="12"/>
  <c r="Q6" i="12"/>
  <c r="AN6" i="12"/>
  <c r="AP6" i="12" s="1"/>
  <c r="O6" i="12"/>
  <c r="AN23" i="12"/>
  <c r="AP23" i="12" s="1"/>
  <c r="AN5" i="12"/>
  <c r="AP5" i="12" s="1"/>
  <c r="AN12" i="12"/>
  <c r="AP12" i="12" s="1"/>
  <c r="AN18" i="12"/>
  <c r="AP18" i="12" s="1"/>
  <c r="J6" i="12"/>
  <c r="AN3" i="12"/>
  <c r="AP3" i="12" s="1"/>
  <c r="AN14" i="12"/>
  <c r="AP14" i="12" s="1"/>
  <c r="AN26" i="12"/>
  <c r="AP26" i="12" s="1"/>
  <c r="AN4" i="12"/>
  <c r="AP4" i="12" s="1"/>
  <c r="E6" i="12"/>
  <c r="D6" i="12"/>
  <c r="C6" i="12"/>
  <c r="B6" i="12"/>
  <c r="AN2" i="12"/>
  <c r="AP2" i="12" s="1"/>
  <c r="AN22" i="10"/>
  <c r="AP22" i="10" s="1"/>
  <c r="AN18" i="10"/>
  <c r="AP18" i="10" s="1"/>
  <c r="AN10" i="10"/>
  <c r="AP10" i="10" s="1"/>
  <c r="AN15" i="10"/>
  <c r="AP15" i="10" s="1"/>
  <c r="AC6" i="10"/>
  <c r="AB6" i="10"/>
  <c r="AN19" i="10"/>
  <c r="AP19" i="10" s="1"/>
  <c r="Z6" i="10"/>
  <c r="Y6" i="10"/>
  <c r="X6" i="10"/>
  <c r="AN12" i="10"/>
  <c r="AP12" i="10" s="1"/>
  <c r="AN8" i="10"/>
  <c r="AP8" i="10" s="1"/>
  <c r="U6" i="10"/>
  <c r="AN11" i="10"/>
  <c r="AP11" i="10" s="1"/>
  <c r="AN20" i="10"/>
  <c r="AP20" i="10" s="1"/>
  <c r="AN28" i="10"/>
  <c r="AP28" i="10" s="1"/>
  <c r="Q6" i="10"/>
  <c r="P6" i="10"/>
  <c r="AN27" i="10"/>
  <c r="AP27" i="10" s="1"/>
  <c r="AN26" i="10"/>
  <c r="AP26" i="10" s="1"/>
  <c r="M6" i="10"/>
  <c r="L6" i="10"/>
  <c r="AN17" i="10"/>
  <c r="AP17" i="10" s="1"/>
  <c r="I6" i="10"/>
  <c r="AN23" i="10"/>
  <c r="AP23" i="10" s="1"/>
  <c r="AN29" i="10"/>
  <c r="AP29" i="10" s="1"/>
  <c r="F6" i="10"/>
  <c r="E6" i="10"/>
  <c r="D6" i="10"/>
  <c r="AI5" i="10"/>
  <c r="AN24" i="10"/>
  <c r="AP24" i="10" s="1"/>
  <c r="AN2" i="10"/>
  <c r="AP2" i="10" s="1"/>
  <c r="AI2" i="10"/>
  <c r="AB8" i="12" l="1"/>
  <c r="E8" i="12"/>
  <c r="Z8" i="10"/>
  <c r="AO14" i="12"/>
  <c r="H7" i="12"/>
  <c r="P7" i="12"/>
  <c r="AO6" i="12"/>
  <c r="AO21" i="12"/>
  <c r="X7" i="12"/>
  <c r="I7" i="12"/>
  <c r="AO17" i="12"/>
  <c r="Q7" i="12"/>
  <c r="Q8" i="12" s="1"/>
  <c r="AO7" i="12"/>
  <c r="Y7" i="12"/>
  <c r="Y8" i="12" s="1"/>
  <c r="AB7" i="12"/>
  <c r="AI5" i="12"/>
  <c r="AI2" i="12"/>
  <c r="AN11" i="12"/>
  <c r="AP11" i="12" s="1"/>
  <c r="U6" i="12"/>
  <c r="AN28" i="12"/>
  <c r="AP28" i="12" s="1"/>
  <c r="AC6" i="12"/>
  <c r="E7" i="12"/>
  <c r="M6" i="12"/>
  <c r="X6" i="12"/>
  <c r="X8" i="12" s="1"/>
  <c r="AN17" i="12"/>
  <c r="AP17" i="12" s="1"/>
  <c r="AN25" i="12"/>
  <c r="AP25" i="12" s="1"/>
  <c r="AI4" i="12"/>
  <c r="H6" i="12"/>
  <c r="H8" i="12" s="1"/>
  <c r="P6" i="12"/>
  <c r="L6" i="12"/>
  <c r="T6" i="12"/>
  <c r="I6" i="12"/>
  <c r="I8" i="12" s="1"/>
  <c r="AI6" i="12"/>
  <c r="J7" i="12"/>
  <c r="J8" i="12" s="1"/>
  <c r="F6" i="12"/>
  <c r="N6" i="12"/>
  <c r="AN15" i="12"/>
  <c r="AP15" i="12" s="1"/>
  <c r="AN19" i="12"/>
  <c r="AP19" i="12" s="1"/>
  <c r="AN27" i="12"/>
  <c r="AP27" i="12" s="1"/>
  <c r="G6" i="12"/>
  <c r="K6" i="12"/>
  <c r="S6" i="12"/>
  <c r="AO3" i="10"/>
  <c r="J7" i="10"/>
  <c r="AO6" i="10"/>
  <c r="AD7" i="10"/>
  <c r="B6" i="10"/>
  <c r="J6" i="10"/>
  <c r="J8" i="10" s="1"/>
  <c r="V6" i="10"/>
  <c r="AD6" i="10"/>
  <c r="AD8" i="10" s="1"/>
  <c r="AN14" i="10"/>
  <c r="AP14" i="10" s="1"/>
  <c r="AN3" i="10"/>
  <c r="AP3" i="10" s="1"/>
  <c r="AN4" i="10"/>
  <c r="AP4" i="10" s="1"/>
  <c r="AN5" i="10"/>
  <c r="AP5" i="10" s="1"/>
  <c r="C6" i="10"/>
  <c r="G6" i="10"/>
  <c r="K6" i="10"/>
  <c r="O6" i="10"/>
  <c r="S6" i="10"/>
  <c r="W6" i="10"/>
  <c r="AA6" i="10"/>
  <c r="AE6" i="10"/>
  <c r="AN6" i="10"/>
  <c r="AP6" i="10" s="1"/>
  <c r="AN7" i="10"/>
  <c r="AP7" i="10" s="1"/>
  <c r="AN9" i="10"/>
  <c r="AP9" i="10" s="1"/>
  <c r="AN13" i="10"/>
  <c r="AP13" i="10" s="1"/>
  <c r="AN21" i="10"/>
  <c r="AP21" i="10" s="1"/>
  <c r="AN25" i="10"/>
  <c r="AP25" i="10" s="1"/>
  <c r="R6" i="10"/>
  <c r="AI3" i="10"/>
  <c r="X7" i="10"/>
  <c r="X8" i="10" s="1"/>
  <c r="AI4" i="10"/>
  <c r="H6" i="10"/>
  <c r="T6" i="10"/>
  <c r="AI6" i="10"/>
  <c r="AI7" i="10"/>
  <c r="AN16" i="10"/>
  <c r="AP16" i="10" s="1"/>
  <c r="Z7" i="10"/>
  <c r="N6" i="10"/>
  <c r="AL4" i="5"/>
  <c r="AM4" i="5"/>
  <c r="AL5" i="5"/>
  <c r="AM5" i="5"/>
  <c r="AL6" i="5"/>
  <c r="AM6" i="5"/>
  <c r="AL7" i="5"/>
  <c r="AM7" i="5"/>
  <c r="AL8" i="5"/>
  <c r="AM8" i="5"/>
  <c r="AL9" i="5"/>
  <c r="AM9" i="5"/>
  <c r="AL10" i="5"/>
  <c r="AM10" i="5"/>
  <c r="AL11" i="5"/>
  <c r="AM11" i="5"/>
  <c r="AL12" i="5"/>
  <c r="AM12" i="5"/>
  <c r="AL13" i="5"/>
  <c r="AM13" i="5"/>
  <c r="AL14" i="5"/>
  <c r="AM14" i="5"/>
  <c r="AL15" i="5"/>
  <c r="AM15" i="5"/>
  <c r="AL16" i="5"/>
  <c r="AM16" i="5"/>
  <c r="AL17" i="5"/>
  <c r="AM17" i="5"/>
  <c r="AL18" i="5"/>
  <c r="AM18" i="5"/>
  <c r="AL19" i="5"/>
  <c r="AM19" i="5"/>
  <c r="AL20" i="5"/>
  <c r="AM20" i="5"/>
  <c r="AL21" i="5"/>
  <c r="AM21" i="5"/>
  <c r="AL22" i="5"/>
  <c r="AN22" i="5" s="1"/>
  <c r="AM22" i="5"/>
  <c r="AL23" i="5"/>
  <c r="AM23" i="5"/>
  <c r="AL24" i="5"/>
  <c r="AN24" i="5" s="1"/>
  <c r="AP24" i="5" s="1"/>
  <c r="AM24" i="5"/>
  <c r="AL25" i="5"/>
  <c r="AM25" i="5"/>
  <c r="AL26" i="5"/>
  <c r="AM26" i="5"/>
  <c r="AL27" i="5"/>
  <c r="AM27" i="5"/>
  <c r="AL28" i="5"/>
  <c r="AM28" i="5"/>
  <c r="AL29" i="5"/>
  <c r="AM29" i="5"/>
  <c r="AL30" i="5"/>
  <c r="AN30" i="5" s="1"/>
  <c r="AM30" i="5"/>
  <c r="AL31" i="5"/>
  <c r="AM31" i="5"/>
  <c r="AL32" i="5"/>
  <c r="AN32" i="5" s="1"/>
  <c r="AM32" i="5"/>
  <c r="AO32" i="5"/>
  <c r="AQ32" i="5" s="1"/>
  <c r="AL33" i="5"/>
  <c r="AN33" i="5" s="1"/>
  <c r="AO33" i="5" s="1"/>
  <c r="AQ33" i="5" s="1"/>
  <c r="AM33" i="5"/>
  <c r="AL34" i="5"/>
  <c r="AM34" i="5"/>
  <c r="AL35" i="5"/>
  <c r="AM35" i="5"/>
  <c r="AL36" i="5"/>
  <c r="AM36" i="5"/>
  <c r="AL37" i="5"/>
  <c r="AM37" i="5"/>
  <c r="AL38" i="5"/>
  <c r="AM38" i="5"/>
  <c r="AL39" i="5"/>
  <c r="AM39" i="5"/>
  <c r="AL40" i="5"/>
  <c r="AM40" i="5"/>
  <c r="AL41" i="5"/>
  <c r="AN41" i="5" s="1"/>
  <c r="AO41" i="5" s="1"/>
  <c r="AQ41" i="5" s="1"/>
  <c r="AM41" i="5"/>
  <c r="AL42" i="5"/>
  <c r="AM42" i="5"/>
  <c r="AL43" i="5"/>
  <c r="AM43" i="5"/>
  <c r="AL44" i="5"/>
  <c r="AM44" i="5"/>
  <c r="AL45" i="5"/>
  <c r="AM45" i="5"/>
  <c r="AL46" i="5"/>
  <c r="AM46" i="5"/>
  <c r="AL47" i="5"/>
  <c r="AM47" i="5"/>
  <c r="AL48" i="5"/>
  <c r="AM48" i="5"/>
  <c r="AL49" i="5"/>
  <c r="AM49" i="5"/>
  <c r="AL50" i="5"/>
  <c r="AM50" i="5"/>
  <c r="AL51" i="5"/>
  <c r="AM51" i="5"/>
  <c r="AL52" i="5"/>
  <c r="AN52" i="5" s="1"/>
  <c r="AM52" i="5"/>
  <c r="AL53" i="5"/>
  <c r="AM53" i="5"/>
  <c r="AL54" i="5"/>
  <c r="AN54" i="5" s="1"/>
  <c r="AM54" i="5"/>
  <c r="AL55" i="5"/>
  <c r="AM55" i="5"/>
  <c r="AL56" i="5"/>
  <c r="AN56" i="5" s="1"/>
  <c r="AM56" i="5"/>
  <c r="AL57" i="5"/>
  <c r="AM57" i="5"/>
  <c r="AL58" i="5"/>
  <c r="AM58" i="5"/>
  <c r="AL59" i="5"/>
  <c r="AM59" i="5"/>
  <c r="AL60" i="5"/>
  <c r="AN60" i="5" s="1"/>
  <c r="AO60" i="5" s="1"/>
  <c r="AQ60" i="5" s="1"/>
  <c r="AM60" i="5"/>
  <c r="AL61" i="5"/>
  <c r="AM61" i="5"/>
  <c r="AL62" i="5"/>
  <c r="AN62" i="5" s="1"/>
  <c r="AM62" i="5"/>
  <c r="AL63" i="5"/>
  <c r="AM63" i="5"/>
  <c r="AL64" i="5"/>
  <c r="AN64" i="5" s="1"/>
  <c r="AO64" i="5" s="1"/>
  <c r="AQ64" i="5" s="1"/>
  <c r="AM64" i="5"/>
  <c r="AL65" i="5"/>
  <c r="AM65" i="5"/>
  <c r="AL66" i="5"/>
  <c r="AN66" i="5" s="1"/>
  <c r="AM66" i="5"/>
  <c r="AL67" i="5"/>
  <c r="AM67" i="5"/>
  <c r="AL68" i="5"/>
  <c r="AN68" i="5" s="1"/>
  <c r="AO68" i="5" s="1"/>
  <c r="AQ68" i="5" s="1"/>
  <c r="AM68" i="5"/>
  <c r="AL69" i="5"/>
  <c r="AM69" i="5"/>
  <c r="AL70" i="5"/>
  <c r="AN70" i="5" s="1"/>
  <c r="AM70" i="5"/>
  <c r="AO70" i="5"/>
  <c r="AQ70" i="5" s="1"/>
  <c r="AL71" i="5"/>
  <c r="AM71" i="5"/>
  <c r="AL72" i="5"/>
  <c r="AM72" i="5"/>
  <c r="AL73" i="5"/>
  <c r="AN73" i="5" s="1"/>
  <c r="AO73" i="5" s="1"/>
  <c r="AQ73" i="5" s="1"/>
  <c r="AM73" i="5"/>
  <c r="AL74" i="5"/>
  <c r="AM74" i="5"/>
  <c r="AL75" i="5"/>
  <c r="AM75" i="5"/>
  <c r="AL76" i="5"/>
  <c r="AM76" i="5"/>
  <c r="AL77" i="5"/>
  <c r="AM77" i="5"/>
  <c r="AL78" i="5"/>
  <c r="AM78" i="5"/>
  <c r="AL79" i="5"/>
  <c r="AM79" i="5"/>
  <c r="AL80" i="5"/>
  <c r="AM80" i="5"/>
  <c r="AL81" i="5"/>
  <c r="AM81" i="5"/>
  <c r="AL82" i="5"/>
  <c r="AM82" i="5"/>
  <c r="AL83" i="5"/>
  <c r="AM83" i="5"/>
  <c r="AL84" i="5"/>
  <c r="AM84" i="5"/>
  <c r="AL85" i="5"/>
  <c r="AM85" i="5"/>
  <c r="AL86" i="5"/>
  <c r="AM86" i="5"/>
  <c r="AL87" i="5"/>
  <c r="AM87" i="5"/>
  <c r="AL88" i="5"/>
  <c r="AM88" i="5"/>
  <c r="AL89" i="5"/>
  <c r="AM89" i="5"/>
  <c r="AL90" i="5"/>
  <c r="AM90" i="5"/>
  <c r="AL91" i="5"/>
  <c r="AM91" i="5"/>
  <c r="AL92" i="5"/>
  <c r="AM92" i="5"/>
  <c r="AL93" i="5"/>
  <c r="AM93" i="5"/>
  <c r="AL94" i="5"/>
  <c r="AM94" i="5"/>
  <c r="AN94" i="5"/>
  <c r="AO94" i="5" s="1"/>
  <c r="AQ94" i="5" s="1"/>
  <c r="AL95" i="5"/>
  <c r="AM95" i="5"/>
  <c r="AL96" i="5"/>
  <c r="AM96" i="5"/>
  <c r="AL97" i="5"/>
  <c r="AM97" i="5"/>
  <c r="AL98" i="5"/>
  <c r="AN98" i="5" s="1"/>
  <c r="AO98" i="5" s="1"/>
  <c r="AQ98" i="5" s="1"/>
  <c r="AM98" i="5"/>
  <c r="AL99" i="5"/>
  <c r="AM99" i="5"/>
  <c r="AL100" i="5"/>
  <c r="AN100" i="5" s="1"/>
  <c r="AO100" i="5" s="1"/>
  <c r="AQ100" i="5" s="1"/>
  <c r="AM100" i="5"/>
  <c r="AL101" i="5"/>
  <c r="AM101" i="5"/>
  <c r="AL102" i="5"/>
  <c r="AM102" i="5"/>
  <c r="AL103" i="5"/>
  <c r="AM103" i="5"/>
  <c r="AL104" i="5"/>
  <c r="AN104" i="5" s="1"/>
  <c r="AO104" i="5" s="1"/>
  <c r="AQ104" i="5" s="1"/>
  <c r="AM104" i="5"/>
  <c r="AL105" i="5"/>
  <c r="AM105" i="5"/>
  <c r="AL106" i="5"/>
  <c r="AM106" i="5"/>
  <c r="AL107" i="5"/>
  <c r="AM107" i="5"/>
  <c r="AL108" i="5"/>
  <c r="AN108" i="5" s="1"/>
  <c r="AO108" i="5" s="1"/>
  <c r="AQ108" i="5" s="1"/>
  <c r="AM108" i="5"/>
  <c r="AL109" i="5"/>
  <c r="AM109" i="5"/>
  <c r="AL110" i="5"/>
  <c r="AM110" i="5"/>
  <c r="AL111" i="5"/>
  <c r="AM111" i="5"/>
  <c r="AL112" i="5"/>
  <c r="AN112" i="5" s="1"/>
  <c r="AO112" i="5" s="1"/>
  <c r="AQ112" i="5" s="1"/>
  <c r="AM112" i="5"/>
  <c r="AL113" i="5"/>
  <c r="AM113" i="5"/>
  <c r="AL114" i="5"/>
  <c r="AN114" i="5" s="1"/>
  <c r="AM114" i="5"/>
  <c r="AL115" i="5"/>
  <c r="AM115" i="5"/>
  <c r="AL116" i="5"/>
  <c r="AM116" i="5"/>
  <c r="AL117" i="5"/>
  <c r="AM117" i="5"/>
  <c r="AL118" i="5"/>
  <c r="AN118" i="5" s="1"/>
  <c r="AM118" i="5"/>
  <c r="AL119" i="5"/>
  <c r="AM119" i="5"/>
  <c r="AL120" i="5"/>
  <c r="AM120" i="5"/>
  <c r="AL121" i="5"/>
  <c r="AM121" i="5"/>
  <c r="AL122" i="5"/>
  <c r="AN122" i="5" s="1"/>
  <c r="AM122" i="5"/>
  <c r="AL123" i="5"/>
  <c r="AM123" i="5"/>
  <c r="AL124" i="5"/>
  <c r="AM124" i="5"/>
  <c r="AL125" i="5"/>
  <c r="AM125" i="5"/>
  <c r="AL126" i="5"/>
  <c r="AN126" i="5" s="1"/>
  <c r="AM126" i="5"/>
  <c r="AL127" i="5"/>
  <c r="AM127" i="5"/>
  <c r="AL128" i="5"/>
  <c r="AM128" i="5"/>
  <c r="AL129" i="5"/>
  <c r="AM129" i="5"/>
  <c r="AL130" i="5"/>
  <c r="AN130" i="5" s="1"/>
  <c r="AM130" i="5"/>
  <c r="AL131" i="5"/>
  <c r="AM131" i="5"/>
  <c r="AL132" i="5"/>
  <c r="AM132" i="5"/>
  <c r="AL133" i="5"/>
  <c r="AM133" i="5"/>
  <c r="AL134" i="5"/>
  <c r="AN134" i="5" s="1"/>
  <c r="AM134" i="5"/>
  <c r="AL135" i="5"/>
  <c r="AM135" i="5"/>
  <c r="AL136" i="5"/>
  <c r="AM136" i="5"/>
  <c r="AL137" i="5"/>
  <c r="AM137" i="5"/>
  <c r="AL138" i="5"/>
  <c r="AN138" i="5" s="1"/>
  <c r="AP138" i="5" s="1"/>
  <c r="AM138" i="5"/>
  <c r="AL139" i="5"/>
  <c r="AM139" i="5"/>
  <c r="AL140" i="5"/>
  <c r="AM140" i="5"/>
  <c r="AL141" i="5"/>
  <c r="AM141" i="5"/>
  <c r="AL142" i="5"/>
  <c r="AM142" i="5"/>
  <c r="AN142" i="5"/>
  <c r="AP142" i="5" s="1"/>
  <c r="AL143" i="5"/>
  <c r="AM143" i="5"/>
  <c r="AL144" i="5"/>
  <c r="AM144" i="5"/>
  <c r="AL145" i="5"/>
  <c r="AM145" i="5"/>
  <c r="AL146" i="5"/>
  <c r="AN146" i="5" s="1"/>
  <c r="AP146" i="5" s="1"/>
  <c r="AM146" i="5"/>
  <c r="AL147" i="5"/>
  <c r="AM147" i="5"/>
  <c r="AL148" i="5"/>
  <c r="AM148" i="5"/>
  <c r="AL149" i="5"/>
  <c r="AM149" i="5"/>
  <c r="AL150" i="5"/>
  <c r="AM150" i="5"/>
  <c r="AN150" i="5"/>
  <c r="AP150" i="5" s="1"/>
  <c r="AL151" i="5"/>
  <c r="AM151" i="5"/>
  <c r="AL152" i="5"/>
  <c r="AM152" i="5"/>
  <c r="AL153" i="5"/>
  <c r="AM153" i="5"/>
  <c r="AL154" i="5"/>
  <c r="AN154" i="5" s="1"/>
  <c r="AP154" i="5" s="1"/>
  <c r="AM154" i="5"/>
  <c r="AL155" i="5"/>
  <c r="AM155" i="5"/>
  <c r="AL156" i="5"/>
  <c r="AM156" i="5"/>
  <c r="AN156" i="5"/>
  <c r="AP156" i="5" s="1"/>
  <c r="AL157" i="5"/>
  <c r="AM157" i="5"/>
  <c r="AL158" i="5"/>
  <c r="AM158" i="5"/>
  <c r="AL159" i="5"/>
  <c r="AM159" i="5"/>
  <c r="AL160" i="5"/>
  <c r="AM160" i="5"/>
  <c r="AL161" i="5"/>
  <c r="AM161" i="5"/>
  <c r="AL162" i="5"/>
  <c r="AM162" i="5"/>
  <c r="AN162" i="5"/>
  <c r="AP162" i="5" s="1"/>
  <c r="AL163" i="5"/>
  <c r="AM163" i="5"/>
  <c r="AL164" i="5"/>
  <c r="AM164" i="5"/>
  <c r="AL165" i="5"/>
  <c r="AN165" i="5" s="1"/>
  <c r="AP165" i="5" s="1"/>
  <c r="AM165" i="5"/>
  <c r="AL166" i="5"/>
  <c r="AM166" i="5"/>
  <c r="AL167" i="5"/>
  <c r="AM167" i="5"/>
  <c r="AN167" i="5"/>
  <c r="AP167" i="5" s="1"/>
  <c r="AL168" i="5"/>
  <c r="AM168" i="5"/>
  <c r="AL169" i="5"/>
  <c r="AM169" i="5"/>
  <c r="AN169" i="5"/>
  <c r="AP169" i="5" s="1"/>
  <c r="AL170" i="5"/>
  <c r="AM170" i="5"/>
  <c r="AL171" i="5"/>
  <c r="AM171" i="5"/>
  <c r="AL172" i="5"/>
  <c r="AM172" i="5"/>
  <c r="AL173" i="5"/>
  <c r="AM173" i="5"/>
  <c r="AL174" i="5"/>
  <c r="AM174" i="5"/>
  <c r="AL175" i="5"/>
  <c r="AN175" i="5" s="1"/>
  <c r="AP175" i="5" s="1"/>
  <c r="AM175" i="5"/>
  <c r="AL176" i="5"/>
  <c r="AM176" i="5"/>
  <c r="AL177" i="5"/>
  <c r="AM177" i="5"/>
  <c r="AL178" i="5"/>
  <c r="AM178" i="5"/>
  <c r="AL179" i="5"/>
  <c r="AN179" i="5" s="1"/>
  <c r="AP179" i="5" s="1"/>
  <c r="AM179" i="5"/>
  <c r="AL180" i="5"/>
  <c r="AM180" i="5"/>
  <c r="AL181" i="5"/>
  <c r="AN181" i="5" s="1"/>
  <c r="AP181" i="5" s="1"/>
  <c r="AM181" i="5"/>
  <c r="AL182" i="5"/>
  <c r="AM182" i="5"/>
  <c r="AL183" i="5"/>
  <c r="AN183" i="5" s="1"/>
  <c r="AP183" i="5" s="1"/>
  <c r="AM183" i="5"/>
  <c r="AL184" i="5"/>
  <c r="AM184" i="5"/>
  <c r="AL185" i="5"/>
  <c r="AM185" i="5"/>
  <c r="AL186" i="5"/>
  <c r="AM186" i="5"/>
  <c r="AL187" i="5"/>
  <c r="AN187" i="5" s="1"/>
  <c r="AP187" i="5" s="1"/>
  <c r="AM187" i="5"/>
  <c r="AL188" i="5"/>
  <c r="AM188" i="5"/>
  <c r="AL189" i="5"/>
  <c r="AN189" i="5" s="1"/>
  <c r="AP189" i="5" s="1"/>
  <c r="AM189" i="5"/>
  <c r="AL190" i="5"/>
  <c r="AM190" i="5"/>
  <c r="AL191" i="5"/>
  <c r="AM191" i="5"/>
  <c r="AN191" i="5"/>
  <c r="AP191" i="5" s="1"/>
  <c r="AL192" i="5"/>
  <c r="AM192" i="5"/>
  <c r="AL193" i="5"/>
  <c r="AM193" i="5"/>
  <c r="AN193" i="5" s="1"/>
  <c r="AP193" i="5" s="1"/>
  <c r="AL194" i="5"/>
  <c r="AM194" i="5"/>
  <c r="AL195" i="5"/>
  <c r="AM195" i="5"/>
  <c r="AL196" i="5"/>
  <c r="AM196" i="5"/>
  <c r="AL197" i="5"/>
  <c r="AM197" i="5"/>
  <c r="AL198" i="5"/>
  <c r="AM198" i="5"/>
  <c r="AL199" i="5"/>
  <c r="AM199" i="5"/>
  <c r="AN199" i="5"/>
  <c r="AP199" i="5" s="1"/>
  <c r="AL200" i="5"/>
  <c r="AM200" i="5"/>
  <c r="AL201" i="5"/>
  <c r="AM201" i="5"/>
  <c r="AN201" i="5" s="1"/>
  <c r="AP201" i="5" s="1"/>
  <c r="AL202" i="5"/>
  <c r="AM202" i="5"/>
  <c r="AL203" i="5"/>
  <c r="AM203" i="5"/>
  <c r="AL204" i="5"/>
  <c r="AM204" i="5"/>
  <c r="AL205" i="5"/>
  <c r="AM205" i="5"/>
  <c r="AL206" i="5"/>
  <c r="AM206" i="5"/>
  <c r="AL207" i="5"/>
  <c r="AM207" i="5"/>
  <c r="AN207" i="5" s="1"/>
  <c r="AP207" i="5" s="1"/>
  <c r="AL208" i="5"/>
  <c r="AM208" i="5"/>
  <c r="AL209" i="5"/>
  <c r="AM209" i="5"/>
  <c r="AL210" i="5"/>
  <c r="AM210" i="5"/>
  <c r="AL211" i="5"/>
  <c r="AN211" i="5" s="1"/>
  <c r="AP211" i="5" s="1"/>
  <c r="AM211" i="5"/>
  <c r="AL212" i="5"/>
  <c r="AM212" i="5"/>
  <c r="AL213" i="5"/>
  <c r="AN213" i="5" s="1"/>
  <c r="AP213" i="5" s="1"/>
  <c r="AM213" i="5"/>
  <c r="AL214" i="5"/>
  <c r="AM214" i="5"/>
  <c r="AL215" i="5"/>
  <c r="AN215" i="5" s="1"/>
  <c r="AP215" i="5" s="1"/>
  <c r="AM215" i="5"/>
  <c r="AL216" i="5"/>
  <c r="AM216" i="5"/>
  <c r="AL217" i="5"/>
  <c r="AM217" i="5"/>
  <c r="AL218" i="5"/>
  <c r="AM218" i="5"/>
  <c r="AL219" i="5"/>
  <c r="AN219" i="5" s="1"/>
  <c r="AP219" i="5" s="1"/>
  <c r="AM219" i="5"/>
  <c r="AL220" i="5"/>
  <c r="AM220" i="5"/>
  <c r="AL221" i="5"/>
  <c r="AN221" i="5" s="1"/>
  <c r="AP221" i="5" s="1"/>
  <c r="AM221" i="5"/>
  <c r="AL222" i="5"/>
  <c r="AM222" i="5"/>
  <c r="AL223" i="5"/>
  <c r="AN223" i="5" s="1"/>
  <c r="AP223" i="5" s="1"/>
  <c r="AM223" i="5"/>
  <c r="AL224" i="5"/>
  <c r="AM224" i="5"/>
  <c r="AL225" i="5"/>
  <c r="AM225" i="5"/>
  <c r="AN225" i="5" s="1"/>
  <c r="AP225" i="5" s="1"/>
  <c r="AL226" i="5"/>
  <c r="AM226" i="5"/>
  <c r="AL227" i="5"/>
  <c r="AM227" i="5"/>
  <c r="AL228" i="5"/>
  <c r="AM228" i="5"/>
  <c r="AL229" i="5"/>
  <c r="AM229" i="5"/>
  <c r="AL230" i="5"/>
  <c r="AM230" i="5"/>
  <c r="AL231" i="5"/>
  <c r="AM231" i="5"/>
  <c r="AN231" i="5"/>
  <c r="AP231" i="5" s="1"/>
  <c r="AL232" i="5"/>
  <c r="AM232" i="5"/>
  <c r="AL233" i="5"/>
  <c r="AM233" i="5"/>
  <c r="AN233" i="5" s="1"/>
  <c r="AP233" i="5" s="1"/>
  <c r="AL234" i="5"/>
  <c r="AM234" i="5"/>
  <c r="AL235" i="5"/>
  <c r="AM235" i="5"/>
  <c r="AL236" i="5"/>
  <c r="AM236" i="5"/>
  <c r="AL237" i="5"/>
  <c r="AM237" i="5"/>
  <c r="AL238" i="5"/>
  <c r="AM238" i="5"/>
  <c r="AL239" i="5"/>
  <c r="AM239" i="5"/>
  <c r="AN239" i="5" s="1"/>
  <c r="AP239" i="5" s="1"/>
  <c r="AL240" i="5"/>
  <c r="AM240" i="5"/>
  <c r="AL241" i="5"/>
  <c r="AM241" i="5"/>
  <c r="AL242" i="5"/>
  <c r="AM242" i="5"/>
  <c r="AL243" i="5"/>
  <c r="AN243" i="5" s="1"/>
  <c r="AP243" i="5" s="1"/>
  <c r="AM243" i="5"/>
  <c r="AL244" i="5"/>
  <c r="AM244" i="5"/>
  <c r="AL245" i="5"/>
  <c r="AN245" i="5" s="1"/>
  <c r="AP245" i="5" s="1"/>
  <c r="AM245" i="5"/>
  <c r="AL246" i="5"/>
  <c r="AM246" i="5"/>
  <c r="AL247" i="5"/>
  <c r="AN247" i="5" s="1"/>
  <c r="AP247" i="5" s="1"/>
  <c r="AM247" i="5"/>
  <c r="AL248" i="5"/>
  <c r="AM248" i="5"/>
  <c r="AL249" i="5"/>
  <c r="AM249" i="5"/>
  <c r="AL250" i="5"/>
  <c r="AM250" i="5"/>
  <c r="AL251" i="5"/>
  <c r="AN251" i="5" s="1"/>
  <c r="AP251" i="5" s="1"/>
  <c r="AM251" i="5"/>
  <c r="AL252" i="5"/>
  <c r="AM252" i="5"/>
  <c r="AL253" i="5"/>
  <c r="AN253" i="5" s="1"/>
  <c r="AP253" i="5" s="1"/>
  <c r="AM253" i="5"/>
  <c r="AL254" i="5"/>
  <c r="AM254" i="5"/>
  <c r="AL255" i="5"/>
  <c r="AN255" i="5" s="1"/>
  <c r="AP255" i="5" s="1"/>
  <c r="AM255" i="5"/>
  <c r="AL256" i="5"/>
  <c r="AM256" i="5"/>
  <c r="AL257" i="5"/>
  <c r="AM257" i="5"/>
  <c r="AN257" i="5" s="1"/>
  <c r="AP257" i="5" s="1"/>
  <c r="AL258" i="5"/>
  <c r="AM258" i="5"/>
  <c r="AL259" i="5"/>
  <c r="AM259" i="5"/>
  <c r="AL260" i="5"/>
  <c r="AM260" i="5"/>
  <c r="AL261" i="5"/>
  <c r="AM261" i="5"/>
  <c r="AL262" i="5"/>
  <c r="AM262" i="5"/>
  <c r="AL263" i="5"/>
  <c r="AM263" i="5"/>
  <c r="AN263" i="5"/>
  <c r="AP263" i="5" s="1"/>
  <c r="AL264" i="5"/>
  <c r="AM264" i="5"/>
  <c r="AL265" i="5"/>
  <c r="AM265" i="5"/>
  <c r="AN265" i="5" s="1"/>
  <c r="AP265" i="5" s="1"/>
  <c r="AL266" i="5"/>
  <c r="AM266" i="5"/>
  <c r="AL267" i="5"/>
  <c r="AM267" i="5"/>
  <c r="AL268" i="5"/>
  <c r="AM268" i="5"/>
  <c r="AL269" i="5"/>
  <c r="AM269" i="5"/>
  <c r="AL270" i="5"/>
  <c r="AM270" i="5"/>
  <c r="AL271" i="5"/>
  <c r="AM271" i="5"/>
  <c r="AN271" i="5" s="1"/>
  <c r="AP271" i="5" s="1"/>
  <c r="AL272" i="5"/>
  <c r="AM272" i="5"/>
  <c r="AL273" i="5"/>
  <c r="AM273" i="5"/>
  <c r="AL274" i="5"/>
  <c r="AM274" i="5"/>
  <c r="AL275" i="5"/>
  <c r="AN275" i="5" s="1"/>
  <c r="AP275" i="5" s="1"/>
  <c r="AM275" i="5"/>
  <c r="AL276" i="5"/>
  <c r="AM276" i="5"/>
  <c r="AL277" i="5"/>
  <c r="AN277" i="5" s="1"/>
  <c r="AP277" i="5" s="1"/>
  <c r="AM277" i="5"/>
  <c r="AL278" i="5"/>
  <c r="AM278" i="5"/>
  <c r="AL279" i="5"/>
  <c r="AN279" i="5" s="1"/>
  <c r="AP279" i="5" s="1"/>
  <c r="AM279" i="5"/>
  <c r="AL280" i="5"/>
  <c r="AM280" i="5"/>
  <c r="AL281" i="5"/>
  <c r="AM281" i="5"/>
  <c r="AL282" i="5"/>
  <c r="AM282" i="5"/>
  <c r="AL283" i="5"/>
  <c r="AN283" i="5" s="1"/>
  <c r="AP283" i="5" s="1"/>
  <c r="AM283" i="5"/>
  <c r="AL284" i="5"/>
  <c r="AM284" i="5"/>
  <c r="AL285" i="5"/>
  <c r="AN285" i="5" s="1"/>
  <c r="AP285" i="5" s="1"/>
  <c r="AM285" i="5"/>
  <c r="AL286" i="5"/>
  <c r="AM286" i="5"/>
  <c r="AL287" i="5"/>
  <c r="AN287" i="5" s="1"/>
  <c r="AP287" i="5" s="1"/>
  <c r="AM287" i="5"/>
  <c r="AL288" i="5"/>
  <c r="AM288" i="5"/>
  <c r="AL289" i="5"/>
  <c r="AM289" i="5"/>
  <c r="AN289" i="5" s="1"/>
  <c r="AP289" i="5" s="1"/>
  <c r="AL290" i="5"/>
  <c r="AM290" i="5"/>
  <c r="AL291" i="5"/>
  <c r="AM291" i="5"/>
  <c r="AL292" i="5"/>
  <c r="AM292" i="5"/>
  <c r="AL293" i="5"/>
  <c r="AM293" i="5"/>
  <c r="AL294" i="5"/>
  <c r="AM294" i="5"/>
  <c r="AL295" i="5"/>
  <c r="AM295" i="5"/>
  <c r="AN295" i="5"/>
  <c r="AP295" i="5" s="1"/>
  <c r="AL296" i="5"/>
  <c r="AM296" i="5"/>
  <c r="AL297" i="5"/>
  <c r="AM297" i="5"/>
  <c r="AN297" i="5" s="1"/>
  <c r="AP297" i="5" s="1"/>
  <c r="AL298" i="5"/>
  <c r="AM298" i="5"/>
  <c r="AL299" i="5"/>
  <c r="AM299" i="5"/>
  <c r="AL300" i="5"/>
  <c r="AM300" i="5"/>
  <c r="AL301" i="5"/>
  <c r="AM301" i="5"/>
  <c r="AL302" i="5"/>
  <c r="AN302" i="5" s="1"/>
  <c r="AM302" i="5"/>
  <c r="AL303" i="5"/>
  <c r="AM303" i="5"/>
  <c r="AL304" i="5"/>
  <c r="AN304" i="5" s="1"/>
  <c r="AO304" i="5" s="1"/>
  <c r="AQ304" i="5" s="1"/>
  <c r="AM304" i="5"/>
  <c r="AL305" i="5"/>
  <c r="AM305" i="5"/>
  <c r="AL306" i="5"/>
  <c r="AN306" i="5" s="1"/>
  <c r="AO306" i="5" s="1"/>
  <c r="AQ306" i="5" s="1"/>
  <c r="AM306" i="5"/>
  <c r="AL307" i="5"/>
  <c r="AM307" i="5"/>
  <c r="AL308" i="5"/>
  <c r="AN308" i="5" s="1"/>
  <c r="AO308" i="5" s="1"/>
  <c r="AQ308" i="5" s="1"/>
  <c r="AM308" i="5"/>
  <c r="AL309" i="5"/>
  <c r="AM309" i="5"/>
  <c r="AL310" i="5"/>
  <c r="AM310" i="5"/>
  <c r="AL311" i="5"/>
  <c r="AM311" i="5"/>
  <c r="AL312" i="5"/>
  <c r="AN312" i="5" s="1"/>
  <c r="AO312" i="5" s="1"/>
  <c r="AQ312" i="5" s="1"/>
  <c r="AM312" i="5"/>
  <c r="AL313" i="5"/>
  <c r="AM313" i="5"/>
  <c r="AL314" i="5"/>
  <c r="AM314" i="5"/>
  <c r="AL315" i="5"/>
  <c r="AM315" i="5"/>
  <c r="AL316" i="5"/>
  <c r="AN316" i="5" s="1"/>
  <c r="AO316" i="5" s="1"/>
  <c r="AQ316" i="5" s="1"/>
  <c r="AM316" i="5"/>
  <c r="AL317" i="5"/>
  <c r="AM317" i="5"/>
  <c r="AL318" i="5"/>
  <c r="AM318" i="5"/>
  <c r="AL319" i="5"/>
  <c r="AM319" i="5"/>
  <c r="AL320" i="5"/>
  <c r="AN320" i="5" s="1"/>
  <c r="AO320" i="5" s="1"/>
  <c r="AQ320" i="5" s="1"/>
  <c r="AM320" i="5"/>
  <c r="AL321" i="5"/>
  <c r="AM321" i="5"/>
  <c r="AL322" i="5"/>
  <c r="AM322" i="5"/>
  <c r="AL323" i="5"/>
  <c r="AM323" i="5"/>
  <c r="AL324" i="5"/>
  <c r="AN324" i="5" s="1"/>
  <c r="AO324" i="5" s="1"/>
  <c r="AQ324" i="5" s="1"/>
  <c r="AM324" i="5"/>
  <c r="AL325" i="5"/>
  <c r="AM325" i="5"/>
  <c r="AL326" i="5"/>
  <c r="AM326" i="5"/>
  <c r="AL327" i="5"/>
  <c r="AM327" i="5"/>
  <c r="AL328" i="5"/>
  <c r="AN328" i="5" s="1"/>
  <c r="AO328" i="5" s="1"/>
  <c r="AQ328" i="5" s="1"/>
  <c r="AM328" i="5"/>
  <c r="AL329" i="5"/>
  <c r="AM329" i="5"/>
  <c r="AL330" i="5"/>
  <c r="AM330" i="5"/>
  <c r="AL331" i="5"/>
  <c r="AM331" i="5"/>
  <c r="AL332" i="5"/>
  <c r="AN332" i="5" s="1"/>
  <c r="AO332" i="5" s="1"/>
  <c r="AQ332" i="5" s="1"/>
  <c r="AM332" i="5"/>
  <c r="AL333" i="5"/>
  <c r="AM333" i="5"/>
  <c r="AL334" i="5"/>
  <c r="AM334" i="5"/>
  <c r="AL335" i="5"/>
  <c r="AM335" i="5"/>
  <c r="AL336" i="5"/>
  <c r="AN336" i="5" s="1"/>
  <c r="AO336" i="5" s="1"/>
  <c r="AQ336" i="5" s="1"/>
  <c r="AM336" i="5"/>
  <c r="AL337" i="5"/>
  <c r="AM337" i="5"/>
  <c r="AL338" i="5"/>
  <c r="AM338" i="5"/>
  <c r="AL339" i="5"/>
  <c r="AM339" i="5"/>
  <c r="AL340" i="5"/>
  <c r="AN340" i="5" s="1"/>
  <c r="AO340" i="5" s="1"/>
  <c r="AQ340" i="5" s="1"/>
  <c r="AM340" i="5"/>
  <c r="AL341" i="5"/>
  <c r="AM341" i="5"/>
  <c r="AL342" i="5"/>
  <c r="AM342" i="5"/>
  <c r="AL343" i="5"/>
  <c r="AM343" i="5"/>
  <c r="AL344" i="5"/>
  <c r="AN344" i="5" s="1"/>
  <c r="AO344" i="5" s="1"/>
  <c r="AQ344" i="5" s="1"/>
  <c r="AM344" i="5"/>
  <c r="AL345" i="5"/>
  <c r="AM345" i="5"/>
  <c r="AL346" i="5"/>
  <c r="AM346" i="5"/>
  <c r="AL347" i="5"/>
  <c r="AM347" i="5"/>
  <c r="AL348" i="5"/>
  <c r="AN348" i="5" s="1"/>
  <c r="AO348" i="5" s="1"/>
  <c r="AQ348" i="5" s="1"/>
  <c r="AM348" i="5"/>
  <c r="AL349" i="5"/>
  <c r="AM349" i="5"/>
  <c r="AL350" i="5"/>
  <c r="AM350" i="5"/>
  <c r="AL351" i="5"/>
  <c r="AM351" i="5"/>
  <c r="AL352" i="5"/>
  <c r="AN352" i="5" s="1"/>
  <c r="AO352" i="5" s="1"/>
  <c r="AQ352" i="5" s="1"/>
  <c r="AM352" i="5"/>
  <c r="AL353" i="5"/>
  <c r="AM353" i="5"/>
  <c r="AL354" i="5"/>
  <c r="AM354" i="5"/>
  <c r="AL355" i="5"/>
  <c r="AM355" i="5"/>
  <c r="AL356" i="5"/>
  <c r="AN356" i="5" s="1"/>
  <c r="AO356" i="5" s="1"/>
  <c r="AQ356" i="5" s="1"/>
  <c r="AM356" i="5"/>
  <c r="AL357" i="5"/>
  <c r="AM357" i="5"/>
  <c r="AL358" i="5"/>
  <c r="AM358" i="5"/>
  <c r="AL359" i="5"/>
  <c r="AM359" i="5"/>
  <c r="AL360" i="5"/>
  <c r="AN360" i="5" s="1"/>
  <c r="AO360" i="5" s="1"/>
  <c r="AQ360" i="5" s="1"/>
  <c r="AM360" i="5"/>
  <c r="AL361" i="5"/>
  <c r="AM361" i="5"/>
  <c r="AL362" i="5"/>
  <c r="AM362" i="5"/>
  <c r="AL363" i="5"/>
  <c r="AM363" i="5"/>
  <c r="AL364" i="5"/>
  <c r="AN364" i="5" s="1"/>
  <c r="AO364" i="5" s="1"/>
  <c r="AQ364" i="5" s="1"/>
  <c r="AM364" i="5"/>
  <c r="AL365" i="5"/>
  <c r="AM365" i="5"/>
  <c r="AL366" i="5"/>
  <c r="AM366" i="5"/>
  <c r="AL367" i="5"/>
  <c r="AM367" i="5"/>
  <c r="AL368" i="5"/>
  <c r="AN368" i="5" s="1"/>
  <c r="AM368" i="5"/>
  <c r="AL369" i="5"/>
  <c r="AM369" i="5"/>
  <c r="AL370" i="5"/>
  <c r="AM370" i="5"/>
  <c r="AL371" i="5"/>
  <c r="AM371" i="5"/>
  <c r="AL372" i="5"/>
  <c r="AN372" i="5" s="1"/>
  <c r="AM372" i="5"/>
  <c r="AL373" i="5"/>
  <c r="AM373" i="5"/>
  <c r="AL374" i="5"/>
  <c r="AM374" i="5"/>
  <c r="AL375" i="5"/>
  <c r="AM375" i="5"/>
  <c r="AL376" i="5"/>
  <c r="AN376" i="5" s="1"/>
  <c r="AM376" i="5"/>
  <c r="AL377" i="5"/>
  <c r="AM377" i="5"/>
  <c r="AN377" i="5" s="1"/>
  <c r="AO377" i="5" s="1"/>
  <c r="AQ377" i="5" s="1"/>
  <c r="AL378" i="5"/>
  <c r="AM378" i="5"/>
  <c r="AL379" i="5"/>
  <c r="AM379" i="5"/>
  <c r="AL380" i="5"/>
  <c r="AM380" i="5"/>
  <c r="AL381" i="5"/>
  <c r="AN381" i="5" s="1"/>
  <c r="AO381" i="5" s="1"/>
  <c r="AQ381" i="5" s="1"/>
  <c r="AM381" i="5"/>
  <c r="AL382" i="5"/>
  <c r="AM382" i="5"/>
  <c r="AL383" i="5"/>
  <c r="AM383" i="5"/>
  <c r="AL384" i="5"/>
  <c r="AM384" i="5"/>
  <c r="AL385" i="5"/>
  <c r="AN385" i="5" s="1"/>
  <c r="AO385" i="5" s="1"/>
  <c r="AQ385" i="5" s="1"/>
  <c r="AM385" i="5"/>
  <c r="AL386" i="5"/>
  <c r="AM386" i="5"/>
  <c r="AL387" i="5"/>
  <c r="AM387" i="5"/>
  <c r="AL388" i="5"/>
  <c r="AM388" i="5"/>
  <c r="AL389" i="5"/>
  <c r="AM389" i="5"/>
  <c r="AN389" i="5"/>
  <c r="AO389" i="5" s="1"/>
  <c r="AQ389" i="5" s="1"/>
  <c r="AL390" i="5"/>
  <c r="AM390" i="5"/>
  <c r="AL391" i="5"/>
  <c r="AM391" i="5"/>
  <c r="AL392" i="5"/>
  <c r="AN392" i="5" s="1"/>
  <c r="AM392" i="5"/>
  <c r="AL393" i="5"/>
  <c r="AM393" i="5"/>
  <c r="AN393" i="5" s="1"/>
  <c r="AO393" i="5" s="1"/>
  <c r="AQ393" i="5" s="1"/>
  <c r="AL394" i="5"/>
  <c r="AM394" i="5"/>
  <c r="AL395" i="5"/>
  <c r="AM395" i="5"/>
  <c r="AL396" i="5"/>
  <c r="AM396" i="5"/>
  <c r="AL397" i="5"/>
  <c r="AN397" i="5" s="1"/>
  <c r="AO397" i="5" s="1"/>
  <c r="AQ397" i="5" s="1"/>
  <c r="AM397" i="5"/>
  <c r="AL398" i="5"/>
  <c r="AM398" i="5"/>
  <c r="AL399" i="5"/>
  <c r="AM399" i="5"/>
  <c r="AL400" i="5"/>
  <c r="AM400" i="5"/>
  <c r="AL401" i="5"/>
  <c r="AN401" i="5" s="1"/>
  <c r="AO401" i="5" s="1"/>
  <c r="AQ401" i="5" s="1"/>
  <c r="AM401" i="5"/>
  <c r="AL402" i="5"/>
  <c r="AM402" i="5"/>
  <c r="G8" i="12" l="1"/>
  <c r="N8" i="12"/>
  <c r="T8" i="12"/>
  <c r="AK4" i="12"/>
  <c r="L8" i="12"/>
  <c r="P8" i="12"/>
  <c r="AC8" i="12"/>
  <c r="AE7" i="12"/>
  <c r="AE8" i="12" s="1"/>
  <c r="AO2" i="12"/>
  <c r="AO15" i="12"/>
  <c r="O7" i="12"/>
  <c r="O8" i="12" s="1"/>
  <c r="AO19" i="12"/>
  <c r="AA7" i="12"/>
  <c r="AA8" i="12" s="1"/>
  <c r="K7" i="12"/>
  <c r="K8" i="12" s="1"/>
  <c r="AO18" i="12"/>
  <c r="AO20" i="12"/>
  <c r="AD7" i="12"/>
  <c r="AD8" i="12" s="1"/>
  <c r="AO23" i="12"/>
  <c r="N7" i="12"/>
  <c r="AO25" i="12"/>
  <c r="D7" i="12"/>
  <c r="D8" i="12" s="1"/>
  <c r="AJ5" i="12"/>
  <c r="AK5" i="12" s="1"/>
  <c r="AJ2" i="12"/>
  <c r="AK2" i="12" s="1"/>
  <c r="AO27" i="12"/>
  <c r="W7" i="12"/>
  <c r="W8" i="12" s="1"/>
  <c r="G7" i="12"/>
  <c r="AJ6" i="12"/>
  <c r="AK6" i="12" s="1"/>
  <c r="AO26" i="12"/>
  <c r="Z7" i="12"/>
  <c r="Z8" i="12" s="1"/>
  <c r="AO9" i="12"/>
  <c r="AO11" i="12"/>
  <c r="U7" i="12"/>
  <c r="U8" i="12" s="1"/>
  <c r="AO3" i="12"/>
  <c r="AO24" i="12"/>
  <c r="R7" i="12"/>
  <c r="R8" i="12" s="1"/>
  <c r="B7" i="12"/>
  <c r="B8" i="12" s="1"/>
  <c r="AO13" i="12"/>
  <c r="AJ4" i="12"/>
  <c r="AO12" i="12"/>
  <c r="L7" i="12"/>
  <c r="AO22" i="12"/>
  <c r="T7" i="12"/>
  <c r="AO28" i="12"/>
  <c r="AC7" i="12"/>
  <c r="S7" i="12"/>
  <c r="S8" i="12" s="1"/>
  <c r="AO10" i="12"/>
  <c r="C7" i="12"/>
  <c r="C8" i="12" s="1"/>
  <c r="AO8" i="12"/>
  <c r="AO16" i="12"/>
  <c r="V7" i="12"/>
  <c r="V8" i="12" s="1"/>
  <c r="F7" i="12"/>
  <c r="F8" i="12" s="1"/>
  <c r="AO4" i="12"/>
  <c r="M7" i="12"/>
  <c r="M8" i="12" s="1"/>
  <c r="AO5" i="12"/>
  <c r="AJ3" i="12"/>
  <c r="AK3" i="12" s="1"/>
  <c r="AO19" i="10"/>
  <c r="AA7" i="10"/>
  <c r="AA8" i="10" s="1"/>
  <c r="AO17" i="10"/>
  <c r="K7" i="10"/>
  <c r="K8" i="10" s="1"/>
  <c r="AO12" i="10"/>
  <c r="W7" i="10"/>
  <c r="W8" i="10" s="1"/>
  <c r="AO29" i="10"/>
  <c r="G7" i="10"/>
  <c r="G8" i="10" s="1"/>
  <c r="U7" i="10"/>
  <c r="U8" i="10" s="1"/>
  <c r="AO18" i="10"/>
  <c r="E7" i="10"/>
  <c r="E8" i="10" s="1"/>
  <c r="AO2" i="10"/>
  <c r="AO9" i="10"/>
  <c r="P7" i="10"/>
  <c r="P8" i="10" s="1"/>
  <c r="AO24" i="10"/>
  <c r="AJ3" i="10"/>
  <c r="AK3" i="10" s="1"/>
  <c r="B7" i="10"/>
  <c r="B8" i="10" s="1"/>
  <c r="AO20" i="10"/>
  <c r="AJ6" i="10"/>
  <c r="AK6" i="10" s="1"/>
  <c r="S7" i="10"/>
  <c r="S8" i="10" s="1"/>
  <c r="AJ5" i="10"/>
  <c r="AK5" i="10" s="1"/>
  <c r="AO25" i="10"/>
  <c r="C7" i="10"/>
  <c r="C8" i="10" s="1"/>
  <c r="AO14" i="10"/>
  <c r="F7" i="10"/>
  <c r="F8" i="10" s="1"/>
  <c r="AC7" i="10"/>
  <c r="AC8" i="10" s="1"/>
  <c r="AO4" i="10"/>
  <c r="AJ7" i="10"/>
  <c r="AK7" i="10" s="1"/>
  <c r="M7" i="10"/>
  <c r="M8" i="10" s="1"/>
  <c r="AO5" i="10"/>
  <c r="H7" i="10"/>
  <c r="H8" i="10" s="1"/>
  <c r="AO23" i="10"/>
  <c r="AO28" i="10"/>
  <c r="R7" i="10"/>
  <c r="R8" i="10" s="1"/>
  <c r="Y7" i="10"/>
  <c r="Y8" i="10" s="1"/>
  <c r="AO10" i="10"/>
  <c r="AO16" i="10"/>
  <c r="I7" i="10"/>
  <c r="I8" i="10" s="1"/>
  <c r="T7" i="10"/>
  <c r="T8" i="10" s="1"/>
  <c r="AO11" i="10"/>
  <c r="AJ2" i="10"/>
  <c r="AK2" i="10" s="1"/>
  <c r="AO21" i="10"/>
  <c r="D7" i="10"/>
  <c r="D8" i="10" s="1"/>
  <c r="AO26" i="10"/>
  <c r="N7" i="10"/>
  <c r="N8" i="10" s="1"/>
  <c r="AO8" i="10"/>
  <c r="V7" i="10"/>
  <c r="V8" i="10" s="1"/>
  <c r="Q7" i="10"/>
  <c r="Q8" i="10" s="1"/>
  <c r="AO7" i="10"/>
  <c r="AO13" i="10"/>
  <c r="AB7" i="10"/>
  <c r="AB8" i="10" s="1"/>
  <c r="L7" i="10"/>
  <c r="L8" i="10" s="1"/>
  <c r="AO22" i="10"/>
  <c r="AO15" i="10"/>
  <c r="AE7" i="10"/>
  <c r="AE8" i="10" s="1"/>
  <c r="AO27" i="10"/>
  <c r="O7" i="10"/>
  <c r="O8" i="10" s="1"/>
  <c r="AJ4" i="10"/>
  <c r="AK4" i="10" s="1"/>
  <c r="AO128" i="5"/>
  <c r="AQ128" i="5" s="1"/>
  <c r="AO124" i="5"/>
  <c r="AQ124" i="5" s="1"/>
  <c r="AN400" i="5"/>
  <c r="AP400" i="5" s="1"/>
  <c r="AN398" i="5"/>
  <c r="AO398" i="5" s="1"/>
  <c r="AQ398" i="5" s="1"/>
  <c r="AN384" i="5"/>
  <c r="AN382" i="5"/>
  <c r="AN299" i="5"/>
  <c r="AO299" i="5" s="1"/>
  <c r="AQ299" i="5" s="1"/>
  <c r="AN269" i="5"/>
  <c r="AP269" i="5" s="1"/>
  <c r="AN267" i="5"/>
  <c r="AP267" i="5" s="1"/>
  <c r="AN237" i="5"/>
  <c r="AP237" i="5" s="1"/>
  <c r="AN235" i="5"/>
  <c r="AP235" i="5" s="1"/>
  <c r="AN205" i="5"/>
  <c r="AP205" i="5" s="1"/>
  <c r="AN203" i="5"/>
  <c r="AP203" i="5" s="1"/>
  <c r="AN173" i="5"/>
  <c r="AP173" i="5" s="1"/>
  <c r="AN171" i="5"/>
  <c r="AP171" i="5" s="1"/>
  <c r="AO146" i="5"/>
  <c r="AQ146" i="5" s="1"/>
  <c r="AO138" i="5"/>
  <c r="AQ138" i="5" s="1"/>
  <c r="AN96" i="5"/>
  <c r="AO96" i="5" s="1"/>
  <c r="AQ96" i="5" s="1"/>
  <c r="AN57" i="5"/>
  <c r="AO57" i="5" s="1"/>
  <c r="AQ57" i="5" s="1"/>
  <c r="AN48" i="5"/>
  <c r="AN46" i="5"/>
  <c r="AN25" i="5"/>
  <c r="AN6" i="5"/>
  <c r="AO6" i="5" s="1"/>
  <c r="AQ6" i="5" s="1"/>
  <c r="AN4" i="5"/>
  <c r="AP4" i="5" s="1"/>
  <c r="AN293" i="5"/>
  <c r="AP293" i="5" s="1"/>
  <c r="AN291" i="5"/>
  <c r="AP291" i="5" s="1"/>
  <c r="AN281" i="5"/>
  <c r="AP281" i="5" s="1"/>
  <c r="AN261" i="5"/>
  <c r="AP261" i="5" s="1"/>
  <c r="AN259" i="5"/>
  <c r="AP259" i="5" s="1"/>
  <c r="AN249" i="5"/>
  <c r="AP249" i="5" s="1"/>
  <c r="AN229" i="5"/>
  <c r="AP229" i="5" s="1"/>
  <c r="AN227" i="5"/>
  <c r="AP227" i="5" s="1"/>
  <c r="AN217" i="5"/>
  <c r="AP217" i="5" s="1"/>
  <c r="AN197" i="5"/>
  <c r="AP197" i="5" s="1"/>
  <c r="AN195" i="5"/>
  <c r="AP195" i="5" s="1"/>
  <c r="AN185" i="5"/>
  <c r="AP185" i="5" s="1"/>
  <c r="AN160" i="5"/>
  <c r="AP160" i="5" s="1"/>
  <c r="AN158" i="5"/>
  <c r="AP158" i="5" s="1"/>
  <c r="AN111" i="5"/>
  <c r="AO111" i="5" s="1"/>
  <c r="AQ111" i="5" s="1"/>
  <c r="AN107" i="5"/>
  <c r="AP107" i="5" s="1"/>
  <c r="AN103" i="5"/>
  <c r="AP103" i="5" s="1"/>
  <c r="AN92" i="5"/>
  <c r="AO92" i="5" s="1"/>
  <c r="AQ92" i="5" s="1"/>
  <c r="AN90" i="5"/>
  <c r="AO90" i="5" s="1"/>
  <c r="AQ90" i="5" s="1"/>
  <c r="AO56" i="5"/>
  <c r="AQ56" i="5" s="1"/>
  <c r="AN40" i="5"/>
  <c r="AO40" i="5" s="1"/>
  <c r="AQ40" i="5" s="1"/>
  <c r="AN38" i="5"/>
  <c r="AO38" i="5" s="1"/>
  <c r="AQ38" i="5" s="1"/>
  <c r="AO24" i="5"/>
  <c r="AQ24" i="5" s="1"/>
  <c r="AN17" i="5"/>
  <c r="AN13" i="5"/>
  <c r="AN9" i="5"/>
  <c r="AP299" i="5"/>
  <c r="AN273" i="5"/>
  <c r="AP273" i="5" s="1"/>
  <c r="AN241" i="5"/>
  <c r="AP241" i="5" s="1"/>
  <c r="AN209" i="5"/>
  <c r="AP209" i="5" s="1"/>
  <c r="AN177" i="5"/>
  <c r="AP177" i="5" s="1"/>
  <c r="AO150" i="5"/>
  <c r="AQ150" i="5" s="1"/>
  <c r="AO142" i="5"/>
  <c r="AQ142" i="5" s="1"/>
  <c r="AN136" i="5"/>
  <c r="AP136" i="5" s="1"/>
  <c r="AN132" i="5"/>
  <c r="AP132" i="5" s="1"/>
  <c r="AN128" i="5"/>
  <c r="AP128" i="5" s="1"/>
  <c r="AN124" i="5"/>
  <c r="AP124" i="5" s="1"/>
  <c r="AN120" i="5"/>
  <c r="AP120" i="5" s="1"/>
  <c r="AN116" i="5"/>
  <c r="AP116" i="5" s="1"/>
  <c r="AO48" i="5"/>
  <c r="AQ48" i="5" s="1"/>
  <c r="AP134" i="5"/>
  <c r="AO134" i="5"/>
  <c r="AQ134" i="5" s="1"/>
  <c r="AP130" i="5"/>
  <c r="AO130" i="5"/>
  <c r="AQ130" i="5" s="1"/>
  <c r="AP126" i="5"/>
  <c r="AO126" i="5"/>
  <c r="AQ126" i="5" s="1"/>
  <c r="AP122" i="5"/>
  <c r="AO122" i="5"/>
  <c r="AQ122" i="5" s="1"/>
  <c r="AP118" i="5"/>
  <c r="AO118" i="5"/>
  <c r="AQ118" i="5" s="1"/>
  <c r="AP114" i="5"/>
  <c r="AO114" i="5"/>
  <c r="AQ114" i="5" s="1"/>
  <c r="AN399" i="5"/>
  <c r="AO399" i="5" s="1"/>
  <c r="AN395" i="5"/>
  <c r="AO395" i="5" s="1"/>
  <c r="AQ395" i="5" s="1"/>
  <c r="AN391" i="5"/>
  <c r="AO391" i="5" s="1"/>
  <c r="AQ391" i="5" s="1"/>
  <c r="AN390" i="5"/>
  <c r="AN387" i="5"/>
  <c r="AO387" i="5" s="1"/>
  <c r="AQ387" i="5" s="1"/>
  <c r="AN383" i="5"/>
  <c r="AO383" i="5" s="1"/>
  <c r="AQ383" i="5" s="1"/>
  <c r="AN379" i="5"/>
  <c r="AO379" i="5" s="1"/>
  <c r="AQ379" i="5" s="1"/>
  <c r="AO295" i="5"/>
  <c r="AQ295" i="5" s="1"/>
  <c r="AO287" i="5"/>
  <c r="AQ287" i="5" s="1"/>
  <c r="AO279" i="5"/>
  <c r="AQ279" i="5" s="1"/>
  <c r="AO271" i="5"/>
  <c r="AQ271" i="5" s="1"/>
  <c r="AO263" i="5"/>
  <c r="AQ263" i="5" s="1"/>
  <c r="AO255" i="5"/>
  <c r="AQ255" i="5" s="1"/>
  <c r="AO247" i="5"/>
  <c r="AQ247" i="5" s="1"/>
  <c r="AO239" i="5"/>
  <c r="AQ239" i="5" s="1"/>
  <c r="AO231" i="5"/>
  <c r="AQ231" i="5" s="1"/>
  <c r="AO223" i="5"/>
  <c r="AQ223" i="5" s="1"/>
  <c r="AO215" i="5"/>
  <c r="AQ215" i="5" s="1"/>
  <c r="AO207" i="5"/>
  <c r="AQ207" i="5" s="1"/>
  <c r="AO199" i="5"/>
  <c r="AQ199" i="5" s="1"/>
  <c r="AO191" i="5"/>
  <c r="AQ191" i="5" s="1"/>
  <c r="AO183" i="5"/>
  <c r="AQ183" i="5" s="1"/>
  <c r="AO175" i="5"/>
  <c r="AQ175" i="5" s="1"/>
  <c r="AO167" i="5"/>
  <c r="AQ167" i="5" s="1"/>
  <c r="AN152" i="5"/>
  <c r="AP152" i="5" s="1"/>
  <c r="AN148" i="5"/>
  <c r="AP148" i="5" s="1"/>
  <c r="AN144" i="5"/>
  <c r="AP144" i="5" s="1"/>
  <c r="AN140" i="5"/>
  <c r="AP140" i="5" s="1"/>
  <c r="AP66" i="5"/>
  <c r="AO62" i="5"/>
  <c r="AQ62" i="5" s="1"/>
  <c r="AP54" i="5"/>
  <c r="AO52" i="5"/>
  <c r="AQ52" i="5" s="1"/>
  <c r="AP46" i="5"/>
  <c r="AP38" i="5"/>
  <c r="AP30" i="5"/>
  <c r="AP22" i="5"/>
  <c r="AP395" i="5"/>
  <c r="AP391" i="5"/>
  <c r="AP387" i="5"/>
  <c r="AP62" i="5"/>
  <c r="AO283" i="5"/>
  <c r="AQ283" i="5" s="1"/>
  <c r="AO275" i="5"/>
  <c r="AQ275" i="5" s="1"/>
  <c r="AO267" i="5"/>
  <c r="AQ267" i="5" s="1"/>
  <c r="AO259" i="5"/>
  <c r="AQ259" i="5" s="1"/>
  <c r="AO251" i="5"/>
  <c r="AQ251" i="5" s="1"/>
  <c r="AO243" i="5"/>
  <c r="AQ243" i="5" s="1"/>
  <c r="AO227" i="5"/>
  <c r="AQ227" i="5" s="1"/>
  <c r="AO219" i="5"/>
  <c r="AQ219" i="5" s="1"/>
  <c r="AO211" i="5"/>
  <c r="AQ211" i="5" s="1"/>
  <c r="AO203" i="5"/>
  <c r="AQ203" i="5" s="1"/>
  <c r="AO187" i="5"/>
  <c r="AQ187" i="5" s="1"/>
  <c r="AO179" i="5"/>
  <c r="AQ179" i="5" s="1"/>
  <c r="AN153" i="5"/>
  <c r="AP153" i="5" s="1"/>
  <c r="AN149" i="5"/>
  <c r="AN145" i="5"/>
  <c r="AO145" i="5" s="1"/>
  <c r="AQ145" i="5" s="1"/>
  <c r="AN141" i="5"/>
  <c r="AN137" i="5"/>
  <c r="AN133" i="5"/>
  <c r="AN129" i="5"/>
  <c r="AO129" i="5" s="1"/>
  <c r="AQ129" i="5" s="1"/>
  <c r="AN125" i="5"/>
  <c r="AN121" i="5"/>
  <c r="AN117" i="5"/>
  <c r="AN113" i="5"/>
  <c r="AO113" i="5" s="1"/>
  <c r="AQ113" i="5" s="1"/>
  <c r="AN44" i="5"/>
  <c r="AO44" i="5" s="1"/>
  <c r="AQ44" i="5" s="1"/>
  <c r="AN36" i="5"/>
  <c r="AO36" i="5" s="1"/>
  <c r="AQ36" i="5" s="1"/>
  <c r="AN28" i="5"/>
  <c r="AO28" i="5" s="1"/>
  <c r="AQ28" i="5" s="1"/>
  <c r="AN20" i="5"/>
  <c r="AO20" i="5" s="1"/>
  <c r="AQ20" i="5" s="1"/>
  <c r="AN5" i="5"/>
  <c r="AP401" i="5"/>
  <c r="AP397" i="5"/>
  <c r="AP393" i="5"/>
  <c r="AP389" i="5"/>
  <c r="AP385" i="5"/>
  <c r="AP381" i="5"/>
  <c r="AP377" i="5"/>
  <c r="AN110" i="5"/>
  <c r="AO110" i="5" s="1"/>
  <c r="AQ110" i="5" s="1"/>
  <c r="AO107" i="5"/>
  <c r="AQ107" i="5" s="1"/>
  <c r="AN106" i="5"/>
  <c r="AO106" i="5" s="1"/>
  <c r="AQ106" i="5" s="1"/>
  <c r="AO103" i="5"/>
  <c r="AQ103" i="5" s="1"/>
  <c r="AN102" i="5"/>
  <c r="AO102" i="5" s="1"/>
  <c r="AQ102" i="5" s="1"/>
  <c r="AN74" i="5"/>
  <c r="AO74" i="5" s="1"/>
  <c r="AQ74" i="5" s="1"/>
  <c r="AN72" i="5"/>
  <c r="AO72" i="5" s="1"/>
  <c r="AQ72" i="5" s="1"/>
  <c r="AP70" i="5"/>
  <c r="AO66" i="5"/>
  <c r="AQ66" i="5" s="1"/>
  <c r="AN58" i="5"/>
  <c r="AO58" i="5" s="1"/>
  <c r="AQ58" i="5" s="1"/>
  <c r="AO54" i="5"/>
  <c r="AQ54" i="5" s="1"/>
  <c r="AN50" i="5"/>
  <c r="AO50" i="5" s="1"/>
  <c r="AQ50" i="5" s="1"/>
  <c r="AO46" i="5"/>
  <c r="AQ46" i="5" s="1"/>
  <c r="AN45" i="5"/>
  <c r="AO45" i="5" s="1"/>
  <c r="AQ45" i="5" s="1"/>
  <c r="AN42" i="5"/>
  <c r="AO42" i="5" s="1"/>
  <c r="AQ42" i="5" s="1"/>
  <c r="AN37" i="5"/>
  <c r="AO37" i="5" s="1"/>
  <c r="AQ37" i="5" s="1"/>
  <c r="AN34" i="5"/>
  <c r="AO34" i="5" s="1"/>
  <c r="AQ34" i="5" s="1"/>
  <c r="AO30" i="5"/>
  <c r="AQ30" i="5" s="1"/>
  <c r="AN29" i="5"/>
  <c r="AO29" i="5" s="1"/>
  <c r="AQ29" i="5" s="1"/>
  <c r="AN26" i="5"/>
  <c r="AO22" i="5"/>
  <c r="AQ22" i="5" s="1"/>
  <c r="AN21" i="5"/>
  <c r="AP21" i="5" s="1"/>
  <c r="AN18" i="5"/>
  <c r="AO18" i="5" s="1"/>
  <c r="AQ18" i="5" s="1"/>
  <c r="AO4" i="5"/>
  <c r="AQ4" i="5" s="1"/>
  <c r="AO302" i="5"/>
  <c r="AQ302" i="5" s="1"/>
  <c r="AP302" i="5"/>
  <c r="AN378" i="5"/>
  <c r="AP378" i="5" s="1"/>
  <c r="AN402" i="5"/>
  <c r="AP402" i="5" s="1"/>
  <c r="AN394" i="5"/>
  <c r="AP394" i="5" s="1"/>
  <c r="AP388" i="5"/>
  <c r="AN386" i="5"/>
  <c r="AO386" i="5" s="1"/>
  <c r="AQ386" i="5" s="1"/>
  <c r="AN396" i="5"/>
  <c r="AP396" i="5" s="1"/>
  <c r="AP390" i="5"/>
  <c r="AN388" i="5"/>
  <c r="AP382" i="5"/>
  <c r="AN380" i="5"/>
  <c r="AP380" i="5" s="1"/>
  <c r="AN374" i="5"/>
  <c r="AP374" i="5" s="1"/>
  <c r="AN370" i="5"/>
  <c r="AO370" i="5" s="1"/>
  <c r="AQ370" i="5" s="1"/>
  <c r="AN366" i="5"/>
  <c r="AO366" i="5" s="1"/>
  <c r="AQ366" i="5" s="1"/>
  <c r="AN362" i="5"/>
  <c r="AO362" i="5" s="1"/>
  <c r="AQ362" i="5" s="1"/>
  <c r="AN358" i="5"/>
  <c r="AO358" i="5" s="1"/>
  <c r="AQ358" i="5" s="1"/>
  <c r="AN354" i="5"/>
  <c r="AO354" i="5" s="1"/>
  <c r="AQ354" i="5" s="1"/>
  <c r="AN350" i="5"/>
  <c r="AO350" i="5" s="1"/>
  <c r="AQ350" i="5" s="1"/>
  <c r="AN346" i="5"/>
  <c r="AO346" i="5" s="1"/>
  <c r="AQ346" i="5" s="1"/>
  <c r="AN342" i="5"/>
  <c r="AO342" i="5" s="1"/>
  <c r="AQ342" i="5" s="1"/>
  <c r="AN338" i="5"/>
  <c r="AO338" i="5" s="1"/>
  <c r="AQ338" i="5" s="1"/>
  <c r="AN334" i="5"/>
  <c r="AO334" i="5" s="1"/>
  <c r="AQ334" i="5" s="1"/>
  <c r="AN330" i="5"/>
  <c r="AO330" i="5" s="1"/>
  <c r="AQ330" i="5" s="1"/>
  <c r="AN326" i="5"/>
  <c r="AO326" i="5" s="1"/>
  <c r="AQ326" i="5" s="1"/>
  <c r="AN322" i="5"/>
  <c r="AO322" i="5" s="1"/>
  <c r="AQ322" i="5" s="1"/>
  <c r="AN318" i="5"/>
  <c r="AO318" i="5" s="1"/>
  <c r="AQ318" i="5" s="1"/>
  <c r="AN314" i="5"/>
  <c r="AO314" i="5" s="1"/>
  <c r="AQ314" i="5" s="1"/>
  <c r="AN310" i="5"/>
  <c r="AO310" i="5" s="1"/>
  <c r="AQ310" i="5" s="1"/>
  <c r="AP392" i="5"/>
  <c r="AP384" i="5"/>
  <c r="AP376" i="5"/>
  <c r="AP372" i="5"/>
  <c r="AP368" i="5"/>
  <c r="AP364" i="5"/>
  <c r="AP360" i="5"/>
  <c r="AP356" i="5"/>
  <c r="AP352" i="5"/>
  <c r="AP348" i="5"/>
  <c r="AP344" i="5"/>
  <c r="AP340" i="5"/>
  <c r="AP336" i="5"/>
  <c r="AP332" i="5"/>
  <c r="AP328" i="5"/>
  <c r="AP324" i="5"/>
  <c r="AP320" i="5"/>
  <c r="AP316" i="5"/>
  <c r="AP312" i="5"/>
  <c r="AP308" i="5"/>
  <c r="AP306" i="5"/>
  <c r="AP304" i="5"/>
  <c r="AN298" i="5"/>
  <c r="AP298" i="5" s="1"/>
  <c r="AN286" i="5"/>
  <c r="AP286" i="5" s="1"/>
  <c r="AN270" i="5"/>
  <c r="AP270" i="5" s="1"/>
  <c r="AN262" i="5"/>
  <c r="AP262" i="5" s="1"/>
  <c r="AN242" i="5"/>
  <c r="AP242" i="5" s="1"/>
  <c r="AN230" i="5"/>
  <c r="AP230" i="5" s="1"/>
  <c r="AN218" i="5"/>
  <c r="AP218" i="5" s="1"/>
  <c r="AN206" i="5"/>
  <c r="AP206" i="5" s="1"/>
  <c r="AN194" i="5"/>
  <c r="AP194" i="5" s="1"/>
  <c r="AN182" i="5"/>
  <c r="AP182" i="5" s="1"/>
  <c r="AN170" i="5"/>
  <c r="AP170" i="5" s="1"/>
  <c r="AN375" i="5"/>
  <c r="AO375" i="5" s="1"/>
  <c r="AQ375" i="5" s="1"/>
  <c r="AN373" i="5"/>
  <c r="AO373" i="5" s="1"/>
  <c r="AQ373" i="5" s="1"/>
  <c r="AN371" i="5"/>
  <c r="AO371" i="5" s="1"/>
  <c r="AQ371" i="5" s="1"/>
  <c r="AN369" i="5"/>
  <c r="AO369" i="5" s="1"/>
  <c r="AQ369" i="5" s="1"/>
  <c r="AN367" i="5"/>
  <c r="AO367" i="5" s="1"/>
  <c r="AQ367" i="5" s="1"/>
  <c r="AN365" i="5"/>
  <c r="AO365" i="5" s="1"/>
  <c r="AQ365" i="5" s="1"/>
  <c r="AN363" i="5"/>
  <c r="AO363" i="5" s="1"/>
  <c r="AQ363" i="5" s="1"/>
  <c r="AN361" i="5"/>
  <c r="AO361" i="5" s="1"/>
  <c r="AQ361" i="5" s="1"/>
  <c r="AN359" i="5"/>
  <c r="AO359" i="5" s="1"/>
  <c r="AQ359" i="5" s="1"/>
  <c r="AN357" i="5"/>
  <c r="AO357" i="5" s="1"/>
  <c r="AQ357" i="5" s="1"/>
  <c r="AN355" i="5"/>
  <c r="AO355" i="5" s="1"/>
  <c r="AQ355" i="5" s="1"/>
  <c r="AN353" i="5"/>
  <c r="AO353" i="5" s="1"/>
  <c r="AQ353" i="5" s="1"/>
  <c r="AN351" i="5"/>
  <c r="AO351" i="5" s="1"/>
  <c r="AQ351" i="5" s="1"/>
  <c r="AN349" i="5"/>
  <c r="AO349" i="5" s="1"/>
  <c r="AQ349" i="5" s="1"/>
  <c r="AN347" i="5"/>
  <c r="AO347" i="5" s="1"/>
  <c r="AQ347" i="5" s="1"/>
  <c r="AN345" i="5"/>
  <c r="AO345" i="5" s="1"/>
  <c r="AQ345" i="5" s="1"/>
  <c r="AN343" i="5"/>
  <c r="AO343" i="5" s="1"/>
  <c r="AQ343" i="5" s="1"/>
  <c r="AN341" i="5"/>
  <c r="AO341" i="5" s="1"/>
  <c r="AQ341" i="5" s="1"/>
  <c r="AN339" i="5"/>
  <c r="AO339" i="5" s="1"/>
  <c r="AQ339" i="5" s="1"/>
  <c r="AN337" i="5"/>
  <c r="AO337" i="5" s="1"/>
  <c r="AQ337" i="5" s="1"/>
  <c r="AN335" i="5"/>
  <c r="AO335" i="5" s="1"/>
  <c r="AQ335" i="5" s="1"/>
  <c r="AN333" i="5"/>
  <c r="AO333" i="5" s="1"/>
  <c r="AQ333" i="5" s="1"/>
  <c r="AN331" i="5"/>
  <c r="AO331" i="5" s="1"/>
  <c r="AQ331" i="5" s="1"/>
  <c r="AN329" i="5"/>
  <c r="AO329" i="5" s="1"/>
  <c r="AQ329" i="5" s="1"/>
  <c r="AN327" i="5"/>
  <c r="AO327" i="5" s="1"/>
  <c r="AQ327" i="5" s="1"/>
  <c r="AN325" i="5"/>
  <c r="AO325" i="5" s="1"/>
  <c r="AQ325" i="5" s="1"/>
  <c r="AN323" i="5"/>
  <c r="AO323" i="5" s="1"/>
  <c r="AQ323" i="5" s="1"/>
  <c r="AN321" i="5"/>
  <c r="AO321" i="5" s="1"/>
  <c r="AQ321" i="5" s="1"/>
  <c r="AN319" i="5"/>
  <c r="AO319" i="5" s="1"/>
  <c r="AQ319" i="5" s="1"/>
  <c r="AN317" i="5"/>
  <c r="AO317" i="5" s="1"/>
  <c r="AQ317" i="5" s="1"/>
  <c r="AN315" i="5"/>
  <c r="AO315" i="5" s="1"/>
  <c r="AQ315" i="5" s="1"/>
  <c r="AN313" i="5"/>
  <c r="AO313" i="5" s="1"/>
  <c r="AQ313" i="5" s="1"/>
  <c r="AN311" i="5"/>
  <c r="AO311" i="5" s="1"/>
  <c r="AQ311" i="5" s="1"/>
  <c r="AN309" i="5"/>
  <c r="AO309" i="5" s="1"/>
  <c r="AQ309" i="5" s="1"/>
  <c r="AN307" i="5"/>
  <c r="AO307" i="5" s="1"/>
  <c r="AQ307" i="5" s="1"/>
  <c r="AN305" i="5"/>
  <c r="AO305" i="5" s="1"/>
  <c r="AQ305" i="5" s="1"/>
  <c r="AN303" i="5"/>
  <c r="AO303" i="5" s="1"/>
  <c r="AQ303" i="5" s="1"/>
  <c r="AN161" i="5"/>
  <c r="AP161" i="5" s="1"/>
  <c r="AN290" i="5"/>
  <c r="AP290" i="5" s="1"/>
  <c r="AN278" i="5"/>
  <c r="AP278" i="5" s="1"/>
  <c r="AN266" i="5"/>
  <c r="AP266" i="5" s="1"/>
  <c r="AN254" i="5"/>
  <c r="AP254" i="5" s="1"/>
  <c r="AN246" i="5"/>
  <c r="AP246" i="5" s="1"/>
  <c r="AN238" i="5"/>
  <c r="AP238" i="5" s="1"/>
  <c r="AN222" i="5"/>
  <c r="AP222" i="5" s="1"/>
  <c r="AN214" i="5"/>
  <c r="AP214" i="5" s="1"/>
  <c r="AN198" i="5"/>
  <c r="AP198" i="5" s="1"/>
  <c r="AN190" i="5"/>
  <c r="AP190" i="5" s="1"/>
  <c r="AN178" i="5"/>
  <c r="AP178" i="5" s="1"/>
  <c r="AN166" i="5"/>
  <c r="AP166" i="5" s="1"/>
  <c r="AN155" i="5"/>
  <c r="AP155" i="5" s="1"/>
  <c r="AO402" i="5"/>
  <c r="AQ402" i="5" s="1"/>
  <c r="AO390" i="5"/>
  <c r="AQ390" i="5" s="1"/>
  <c r="AO388" i="5"/>
  <c r="AQ388" i="5" s="1"/>
  <c r="AO384" i="5"/>
  <c r="AQ384" i="5" s="1"/>
  <c r="AO382" i="5"/>
  <c r="AQ382" i="5" s="1"/>
  <c r="AO378" i="5"/>
  <c r="AQ378" i="5" s="1"/>
  <c r="AO376" i="5"/>
  <c r="AQ376" i="5" s="1"/>
  <c r="AO374" i="5"/>
  <c r="AQ374" i="5" s="1"/>
  <c r="AO372" i="5"/>
  <c r="AQ372" i="5" s="1"/>
  <c r="AO368" i="5"/>
  <c r="AQ368" i="5" s="1"/>
  <c r="AN296" i="5"/>
  <c r="AP296" i="5" s="1"/>
  <c r="AN292" i="5"/>
  <c r="AP292" i="5" s="1"/>
  <c r="AO292" i="5"/>
  <c r="AQ292" i="5" s="1"/>
  <c r="AN288" i="5"/>
  <c r="AP288" i="5" s="1"/>
  <c r="AN284" i="5"/>
  <c r="AP284" i="5" s="1"/>
  <c r="AO284" i="5"/>
  <c r="AQ284" i="5" s="1"/>
  <c r="AN280" i="5"/>
  <c r="AP280" i="5" s="1"/>
  <c r="AN276" i="5"/>
  <c r="AP276" i="5" s="1"/>
  <c r="AO276" i="5"/>
  <c r="AQ276" i="5" s="1"/>
  <c r="AN272" i="5"/>
  <c r="AP272" i="5" s="1"/>
  <c r="AN268" i="5"/>
  <c r="AP268" i="5" s="1"/>
  <c r="AO268" i="5"/>
  <c r="AQ268" i="5" s="1"/>
  <c r="AN264" i="5"/>
  <c r="AP264" i="5" s="1"/>
  <c r="AN260" i="5"/>
  <c r="AP260" i="5" s="1"/>
  <c r="AO260" i="5"/>
  <c r="AQ260" i="5" s="1"/>
  <c r="AN256" i="5"/>
  <c r="AP256" i="5" s="1"/>
  <c r="AN252" i="5"/>
  <c r="AP252" i="5" s="1"/>
  <c r="AO252" i="5"/>
  <c r="AQ252" i="5" s="1"/>
  <c r="AN248" i="5"/>
  <c r="AP248" i="5" s="1"/>
  <c r="AN244" i="5"/>
  <c r="AP244" i="5" s="1"/>
  <c r="AO244" i="5"/>
  <c r="AQ244" i="5" s="1"/>
  <c r="AN240" i="5"/>
  <c r="AP240" i="5" s="1"/>
  <c r="AN236" i="5"/>
  <c r="AP236" i="5" s="1"/>
  <c r="AO236" i="5"/>
  <c r="AQ236" i="5" s="1"/>
  <c r="AN232" i="5"/>
  <c r="AP232" i="5" s="1"/>
  <c r="AN228" i="5"/>
  <c r="AP228" i="5" s="1"/>
  <c r="AO228" i="5"/>
  <c r="AQ228" i="5" s="1"/>
  <c r="AN224" i="5"/>
  <c r="AP224" i="5" s="1"/>
  <c r="AN220" i="5"/>
  <c r="AP220" i="5" s="1"/>
  <c r="AO220" i="5"/>
  <c r="AQ220" i="5" s="1"/>
  <c r="AN216" i="5"/>
  <c r="AP216" i="5" s="1"/>
  <c r="AN212" i="5"/>
  <c r="AP212" i="5" s="1"/>
  <c r="AO212" i="5"/>
  <c r="AQ212" i="5" s="1"/>
  <c r="AN208" i="5"/>
  <c r="AP208" i="5" s="1"/>
  <c r="AN204" i="5"/>
  <c r="AP204" i="5" s="1"/>
  <c r="AO204" i="5"/>
  <c r="AQ204" i="5" s="1"/>
  <c r="AN200" i="5"/>
  <c r="AP200" i="5" s="1"/>
  <c r="AN196" i="5"/>
  <c r="AP196" i="5" s="1"/>
  <c r="AO196" i="5"/>
  <c r="AQ196" i="5" s="1"/>
  <c r="AN192" i="5"/>
  <c r="AP192" i="5" s="1"/>
  <c r="AN188" i="5"/>
  <c r="AP188" i="5" s="1"/>
  <c r="AO188" i="5"/>
  <c r="AQ188" i="5" s="1"/>
  <c r="AN184" i="5"/>
  <c r="AP184" i="5" s="1"/>
  <c r="AN180" i="5"/>
  <c r="AP180" i="5" s="1"/>
  <c r="AO180" i="5"/>
  <c r="AQ180" i="5" s="1"/>
  <c r="AN176" i="5"/>
  <c r="AP176" i="5" s="1"/>
  <c r="AN172" i="5"/>
  <c r="AP172" i="5" s="1"/>
  <c r="AO172" i="5"/>
  <c r="AQ172" i="5" s="1"/>
  <c r="AN168" i="5"/>
  <c r="AP168" i="5" s="1"/>
  <c r="AN164" i="5"/>
  <c r="AP164" i="5" s="1"/>
  <c r="AO164" i="5"/>
  <c r="AQ164" i="5" s="1"/>
  <c r="AN159" i="5"/>
  <c r="AP159" i="5" s="1"/>
  <c r="AN294" i="5"/>
  <c r="AP294" i="5" s="1"/>
  <c r="AN282" i="5"/>
  <c r="AP282" i="5" s="1"/>
  <c r="AN274" i="5"/>
  <c r="AP274" i="5" s="1"/>
  <c r="AN258" i="5"/>
  <c r="AP258" i="5" s="1"/>
  <c r="AN250" i="5"/>
  <c r="AP250" i="5" s="1"/>
  <c r="AN234" i="5"/>
  <c r="AP234" i="5" s="1"/>
  <c r="AN226" i="5"/>
  <c r="AP226" i="5" s="1"/>
  <c r="AN210" i="5"/>
  <c r="AP210" i="5" s="1"/>
  <c r="AN202" i="5"/>
  <c r="AP202" i="5" s="1"/>
  <c r="AN186" i="5"/>
  <c r="AP186" i="5" s="1"/>
  <c r="AN174" i="5"/>
  <c r="AP174" i="5" s="1"/>
  <c r="AN163" i="5"/>
  <c r="AP163" i="5" s="1"/>
  <c r="AO400" i="5"/>
  <c r="AQ400" i="5" s="1"/>
  <c r="AO392" i="5"/>
  <c r="AQ392" i="5" s="1"/>
  <c r="AN301" i="5"/>
  <c r="AP301" i="5" s="1"/>
  <c r="AN300" i="5"/>
  <c r="AP300" i="5" s="1"/>
  <c r="AO297" i="5"/>
  <c r="AQ297" i="5" s="1"/>
  <c r="AO293" i="5"/>
  <c r="AQ293" i="5" s="1"/>
  <c r="AO289" i="5"/>
  <c r="AQ289" i="5" s="1"/>
  <c r="AO285" i="5"/>
  <c r="AQ285" i="5" s="1"/>
  <c r="AO277" i="5"/>
  <c r="AQ277" i="5" s="1"/>
  <c r="AO273" i="5"/>
  <c r="AQ273" i="5" s="1"/>
  <c r="AO265" i="5"/>
  <c r="AQ265" i="5" s="1"/>
  <c r="AO261" i="5"/>
  <c r="AQ261" i="5" s="1"/>
  <c r="AO257" i="5"/>
  <c r="AQ257" i="5" s="1"/>
  <c r="AO253" i="5"/>
  <c r="AQ253" i="5" s="1"/>
  <c r="AO249" i="5"/>
  <c r="AQ249" i="5" s="1"/>
  <c r="AO245" i="5"/>
  <c r="AQ245" i="5" s="1"/>
  <c r="AO241" i="5"/>
  <c r="AQ241" i="5" s="1"/>
  <c r="AO237" i="5"/>
  <c r="AQ237" i="5" s="1"/>
  <c r="AO233" i="5"/>
  <c r="AQ233" i="5" s="1"/>
  <c r="AO229" i="5"/>
  <c r="AQ229" i="5" s="1"/>
  <c r="AO225" i="5"/>
  <c r="AQ225" i="5" s="1"/>
  <c r="AO221" i="5"/>
  <c r="AQ221" i="5" s="1"/>
  <c r="AO217" i="5"/>
  <c r="AQ217" i="5" s="1"/>
  <c r="AO213" i="5"/>
  <c r="AQ213" i="5" s="1"/>
  <c r="AO209" i="5"/>
  <c r="AQ209" i="5" s="1"/>
  <c r="AO201" i="5"/>
  <c r="AQ201" i="5" s="1"/>
  <c r="AO197" i="5"/>
  <c r="AQ197" i="5" s="1"/>
  <c r="AO193" i="5"/>
  <c r="AQ193" i="5" s="1"/>
  <c r="AO189" i="5"/>
  <c r="AQ189" i="5" s="1"/>
  <c r="AO185" i="5"/>
  <c r="AQ185" i="5" s="1"/>
  <c r="AO181" i="5"/>
  <c r="AQ181" i="5" s="1"/>
  <c r="AO173" i="5"/>
  <c r="AQ173" i="5" s="1"/>
  <c r="AO169" i="5"/>
  <c r="AQ169" i="5" s="1"/>
  <c r="AO165" i="5"/>
  <c r="AQ165" i="5" s="1"/>
  <c r="AN157" i="5"/>
  <c r="AP157" i="5" s="1"/>
  <c r="AO162" i="5"/>
  <c r="AQ162" i="5" s="1"/>
  <c r="AO160" i="5"/>
  <c r="AQ160" i="5" s="1"/>
  <c r="AO158" i="5"/>
  <c r="AQ158" i="5" s="1"/>
  <c r="AO156" i="5"/>
  <c r="AQ156" i="5" s="1"/>
  <c r="AO154" i="5"/>
  <c r="AQ154" i="5" s="1"/>
  <c r="AP149" i="5"/>
  <c r="AN147" i="5"/>
  <c r="AP147" i="5" s="1"/>
  <c r="AP141" i="5"/>
  <c r="AN139" i="5"/>
  <c r="AP139" i="5" s="1"/>
  <c r="AP133" i="5"/>
  <c r="AN131" i="5"/>
  <c r="AP131" i="5" s="1"/>
  <c r="AP125" i="5"/>
  <c r="AN123" i="5"/>
  <c r="AP123" i="5" s="1"/>
  <c r="AP117" i="5"/>
  <c r="AN115" i="5"/>
  <c r="AP115" i="5" s="1"/>
  <c r="AN89" i="5"/>
  <c r="AP89" i="5" s="1"/>
  <c r="AN151" i="5"/>
  <c r="AP151" i="5" s="1"/>
  <c r="AP145" i="5"/>
  <c r="AN143" i="5"/>
  <c r="AP143" i="5" s="1"/>
  <c r="AP137" i="5"/>
  <c r="AN135" i="5"/>
  <c r="AP135" i="5" s="1"/>
  <c r="AP129" i="5"/>
  <c r="AN127" i="5"/>
  <c r="AP127" i="5" s="1"/>
  <c r="AP121" i="5"/>
  <c r="AN119" i="5"/>
  <c r="AO119" i="5" s="1"/>
  <c r="AQ119" i="5" s="1"/>
  <c r="AP113" i="5"/>
  <c r="AP112" i="5"/>
  <c r="AN109" i="5"/>
  <c r="AP109" i="5" s="1"/>
  <c r="AP108" i="5"/>
  <c r="AN105" i="5"/>
  <c r="AP105" i="5" s="1"/>
  <c r="AP104" i="5"/>
  <c r="AN101" i="5"/>
  <c r="AP101" i="5" s="1"/>
  <c r="AP100" i="5"/>
  <c r="AN97" i="5"/>
  <c r="AO97" i="5" s="1"/>
  <c r="AQ97" i="5" s="1"/>
  <c r="AP96" i="5"/>
  <c r="AN93" i="5"/>
  <c r="AP93" i="5" s="1"/>
  <c r="AP92" i="5"/>
  <c r="AO153" i="5"/>
  <c r="AQ153" i="5" s="1"/>
  <c r="AO149" i="5"/>
  <c r="AQ149" i="5" s="1"/>
  <c r="AO143" i="5"/>
  <c r="AQ143" i="5" s="1"/>
  <c r="AO141" i="5"/>
  <c r="AQ141" i="5" s="1"/>
  <c r="AO139" i="5"/>
  <c r="AQ139" i="5" s="1"/>
  <c r="AO137" i="5"/>
  <c r="AQ137" i="5" s="1"/>
  <c r="AO133" i="5"/>
  <c r="AQ133" i="5" s="1"/>
  <c r="AO127" i="5"/>
  <c r="AQ127" i="5" s="1"/>
  <c r="AO125" i="5"/>
  <c r="AQ125" i="5" s="1"/>
  <c r="AO123" i="5"/>
  <c r="AQ123" i="5" s="1"/>
  <c r="AO121" i="5"/>
  <c r="AQ121" i="5" s="1"/>
  <c r="AO117" i="5"/>
  <c r="AQ117" i="5" s="1"/>
  <c r="AO115" i="5"/>
  <c r="AQ115" i="5" s="1"/>
  <c r="AP110" i="5"/>
  <c r="AO109" i="5"/>
  <c r="AQ109" i="5" s="1"/>
  <c r="AP106" i="5"/>
  <c r="AP102" i="5"/>
  <c r="AO101" i="5"/>
  <c r="AQ101" i="5" s="1"/>
  <c r="AN99" i="5"/>
  <c r="AP98" i="5"/>
  <c r="AN95" i="5"/>
  <c r="AP94" i="5"/>
  <c r="AO93" i="5"/>
  <c r="AQ93" i="5" s="1"/>
  <c r="AN91" i="5"/>
  <c r="AN88" i="5"/>
  <c r="AO88" i="5" s="1"/>
  <c r="AQ88" i="5" s="1"/>
  <c r="AN87" i="5"/>
  <c r="AO87" i="5" s="1"/>
  <c r="AQ87" i="5" s="1"/>
  <c r="AN86" i="5"/>
  <c r="AO86" i="5" s="1"/>
  <c r="AQ86" i="5" s="1"/>
  <c r="AN85" i="5"/>
  <c r="AO85" i="5" s="1"/>
  <c r="AQ85" i="5" s="1"/>
  <c r="AN84" i="5"/>
  <c r="AO84" i="5" s="1"/>
  <c r="AQ84" i="5" s="1"/>
  <c r="AN83" i="5"/>
  <c r="AO83" i="5" s="1"/>
  <c r="AQ83" i="5" s="1"/>
  <c r="AN82" i="5"/>
  <c r="AO82" i="5" s="1"/>
  <c r="AQ82" i="5" s="1"/>
  <c r="AN81" i="5"/>
  <c r="AO81" i="5" s="1"/>
  <c r="AQ81" i="5" s="1"/>
  <c r="AN80" i="5"/>
  <c r="AO80" i="5" s="1"/>
  <c r="AQ80" i="5" s="1"/>
  <c r="AN79" i="5"/>
  <c r="AO79" i="5" s="1"/>
  <c r="AQ79" i="5" s="1"/>
  <c r="AN78" i="5"/>
  <c r="AO78" i="5" s="1"/>
  <c r="AQ78" i="5" s="1"/>
  <c r="AN77" i="5"/>
  <c r="AO77" i="5" s="1"/>
  <c r="AQ77" i="5" s="1"/>
  <c r="AN76" i="5"/>
  <c r="AO76" i="5" s="1"/>
  <c r="AQ76" i="5" s="1"/>
  <c r="AN75" i="5"/>
  <c r="AO75" i="5" s="1"/>
  <c r="AQ75" i="5" s="1"/>
  <c r="AN67" i="5"/>
  <c r="AO67" i="5" s="1"/>
  <c r="AQ67" i="5" s="1"/>
  <c r="AN63" i="5"/>
  <c r="AO63" i="5" s="1"/>
  <c r="AQ63" i="5" s="1"/>
  <c r="AN59" i="5"/>
  <c r="AO59" i="5" s="1"/>
  <c r="AQ59" i="5" s="1"/>
  <c r="AN51" i="5"/>
  <c r="AO51" i="5" s="1"/>
  <c r="AQ51" i="5" s="1"/>
  <c r="AN47" i="5"/>
  <c r="AO47" i="5" s="1"/>
  <c r="AQ47" i="5" s="1"/>
  <c r="AN71" i="5"/>
  <c r="AO71" i="5" s="1"/>
  <c r="AQ71" i="5" s="1"/>
  <c r="AP68" i="5"/>
  <c r="AP64" i="5"/>
  <c r="AP60" i="5"/>
  <c r="AP56" i="5"/>
  <c r="AN55" i="5"/>
  <c r="AO55" i="5" s="1"/>
  <c r="AQ55" i="5" s="1"/>
  <c r="AP52" i="5"/>
  <c r="AP48" i="5"/>
  <c r="AP44" i="5"/>
  <c r="AN43" i="5"/>
  <c r="AO43" i="5" s="1"/>
  <c r="AQ43" i="5" s="1"/>
  <c r="AP40" i="5"/>
  <c r="AN39" i="5"/>
  <c r="AO39" i="5" s="1"/>
  <c r="AQ39" i="5" s="1"/>
  <c r="AP36" i="5"/>
  <c r="AN35" i="5"/>
  <c r="AO35" i="5" s="1"/>
  <c r="AQ35" i="5" s="1"/>
  <c r="AP32" i="5"/>
  <c r="AN31" i="5"/>
  <c r="AO31" i="5" s="1"/>
  <c r="AQ31" i="5" s="1"/>
  <c r="AP28" i="5"/>
  <c r="AN27" i="5"/>
  <c r="AO27" i="5" s="1"/>
  <c r="AQ27" i="5" s="1"/>
  <c r="AN23" i="5"/>
  <c r="AO23" i="5" s="1"/>
  <c r="AQ23" i="5" s="1"/>
  <c r="AN19" i="5"/>
  <c r="AP19" i="5" s="1"/>
  <c r="AN15" i="5"/>
  <c r="AP15" i="5" s="1"/>
  <c r="AN11" i="5"/>
  <c r="AO11" i="5" s="1"/>
  <c r="AQ11" i="5" s="1"/>
  <c r="AN7" i="5"/>
  <c r="AP7" i="5" s="1"/>
  <c r="AP73" i="5"/>
  <c r="AN69" i="5"/>
  <c r="AO69" i="5" s="1"/>
  <c r="AQ69" i="5" s="1"/>
  <c r="AN65" i="5"/>
  <c r="AO65" i="5" s="1"/>
  <c r="AQ65" i="5" s="1"/>
  <c r="AN61" i="5"/>
  <c r="AO61" i="5" s="1"/>
  <c r="AQ61" i="5" s="1"/>
  <c r="AP57" i="5"/>
  <c r="AN53" i="5"/>
  <c r="AO53" i="5" s="1"/>
  <c r="AQ53" i="5" s="1"/>
  <c r="AN49" i="5"/>
  <c r="AO49" i="5" s="1"/>
  <c r="AQ49" i="5" s="1"/>
  <c r="AP45" i="5"/>
  <c r="AP41" i="5"/>
  <c r="AP37" i="5"/>
  <c r="AP33" i="5"/>
  <c r="AP29" i="5"/>
  <c r="AP25" i="5"/>
  <c r="AP17" i="5"/>
  <c r="AP13" i="5"/>
  <c r="AP9" i="5"/>
  <c r="AP5" i="5"/>
  <c r="AN16" i="5"/>
  <c r="AO16" i="5" s="1"/>
  <c r="AQ16" i="5" s="1"/>
  <c r="AN14" i="5"/>
  <c r="AO14" i="5" s="1"/>
  <c r="AQ14" i="5" s="1"/>
  <c r="AN12" i="5"/>
  <c r="AO12" i="5" s="1"/>
  <c r="AQ12" i="5" s="1"/>
  <c r="AN10" i="5"/>
  <c r="AO10" i="5" s="1"/>
  <c r="AQ10" i="5" s="1"/>
  <c r="AN8" i="5"/>
  <c r="AO8" i="5" s="1"/>
  <c r="AQ8" i="5" s="1"/>
  <c r="AO25" i="5"/>
  <c r="AQ25" i="5" s="1"/>
  <c r="AO21" i="5"/>
  <c r="AQ21" i="5" s="1"/>
  <c r="AO17" i="5"/>
  <c r="AQ17" i="5" s="1"/>
  <c r="AO13" i="5"/>
  <c r="AQ13" i="5" s="1"/>
  <c r="AO9" i="5"/>
  <c r="AQ9" i="5" s="1"/>
  <c r="AO5" i="5"/>
  <c r="AQ5" i="5" s="1"/>
  <c r="AP399" i="5" l="1"/>
  <c r="AQ399" i="5"/>
  <c r="AP20" i="5"/>
  <c r="AP72" i="5"/>
  <c r="AO281" i="5"/>
  <c r="AQ281" i="5" s="1"/>
  <c r="AO380" i="5"/>
  <c r="AQ380" i="5" s="1"/>
  <c r="AP398" i="5"/>
  <c r="AP379" i="5"/>
  <c r="AP39" i="5"/>
  <c r="AP90" i="5"/>
  <c r="AO147" i="5"/>
  <c r="AQ147" i="5" s="1"/>
  <c r="AO89" i="5"/>
  <c r="AQ89" i="5" s="1"/>
  <c r="AO205" i="5"/>
  <c r="AQ205" i="5" s="1"/>
  <c r="AO269" i="5"/>
  <c r="AQ269" i="5" s="1"/>
  <c r="AO159" i="5"/>
  <c r="AQ159" i="5" s="1"/>
  <c r="AO168" i="5"/>
  <c r="AQ168" i="5" s="1"/>
  <c r="AO176" i="5"/>
  <c r="AQ176" i="5" s="1"/>
  <c r="AO184" i="5"/>
  <c r="AQ184" i="5" s="1"/>
  <c r="AO192" i="5"/>
  <c r="AQ192" i="5" s="1"/>
  <c r="AO200" i="5"/>
  <c r="AQ200" i="5" s="1"/>
  <c r="AO208" i="5"/>
  <c r="AQ208" i="5" s="1"/>
  <c r="AO216" i="5"/>
  <c r="AQ216" i="5" s="1"/>
  <c r="AO224" i="5"/>
  <c r="AQ224" i="5" s="1"/>
  <c r="AO232" i="5"/>
  <c r="AQ232" i="5" s="1"/>
  <c r="AO240" i="5"/>
  <c r="AQ240" i="5" s="1"/>
  <c r="AO248" i="5"/>
  <c r="AQ248" i="5" s="1"/>
  <c r="AO256" i="5"/>
  <c r="AQ256" i="5" s="1"/>
  <c r="AO264" i="5"/>
  <c r="AQ264" i="5" s="1"/>
  <c r="AO272" i="5"/>
  <c r="AQ272" i="5" s="1"/>
  <c r="AO280" i="5"/>
  <c r="AQ280" i="5" s="1"/>
  <c r="AO288" i="5"/>
  <c r="AQ288" i="5" s="1"/>
  <c r="AO296" i="5"/>
  <c r="AQ296" i="5" s="1"/>
  <c r="AO394" i="5"/>
  <c r="AQ394" i="5" s="1"/>
  <c r="AO161" i="5"/>
  <c r="AQ161" i="5" s="1"/>
  <c r="AP6" i="5"/>
  <c r="AO195" i="5"/>
  <c r="AQ195" i="5" s="1"/>
  <c r="AO291" i="5"/>
  <c r="AQ291" i="5" s="1"/>
  <c r="AP383" i="5"/>
  <c r="AP111" i="5"/>
  <c r="AO116" i="5"/>
  <c r="AQ116" i="5" s="1"/>
  <c r="AO136" i="5"/>
  <c r="AQ136" i="5" s="1"/>
  <c r="AO105" i="5"/>
  <c r="AQ105" i="5" s="1"/>
  <c r="AO131" i="5"/>
  <c r="AQ131" i="5" s="1"/>
  <c r="AO177" i="5"/>
  <c r="AQ177" i="5" s="1"/>
  <c r="AO171" i="5"/>
  <c r="AQ171" i="5" s="1"/>
  <c r="AO235" i="5"/>
  <c r="AQ235" i="5" s="1"/>
  <c r="AO120" i="5"/>
  <c r="AQ120" i="5" s="1"/>
  <c r="AO132" i="5"/>
  <c r="AQ132" i="5" s="1"/>
  <c r="AP76" i="5"/>
  <c r="AP88" i="5"/>
  <c r="AP369" i="5"/>
  <c r="AP34" i="5"/>
  <c r="AP50" i="5"/>
  <c r="AP53" i="5"/>
  <c r="AP31" i="5"/>
  <c r="AP51" i="5"/>
  <c r="AP10" i="5"/>
  <c r="AP78" i="5"/>
  <c r="AP373" i="5"/>
  <c r="AP345" i="5"/>
  <c r="AP353" i="5"/>
  <c r="AP18" i="5"/>
  <c r="AP58" i="5"/>
  <c r="AO140" i="5"/>
  <c r="AQ140" i="5" s="1"/>
  <c r="AP82" i="5"/>
  <c r="AP42" i="5"/>
  <c r="AP74" i="5"/>
  <c r="AO148" i="5"/>
  <c r="AQ148" i="5" s="1"/>
  <c r="AO144" i="5"/>
  <c r="AQ144" i="5" s="1"/>
  <c r="AP49" i="5"/>
  <c r="AP47" i="5"/>
  <c r="AP55" i="5"/>
  <c r="AP14" i="5"/>
  <c r="AP84" i="5"/>
  <c r="AP87" i="5"/>
  <c r="AP321" i="5"/>
  <c r="AP26" i="5"/>
  <c r="AO26" i="5"/>
  <c r="AQ26" i="5" s="1"/>
  <c r="AO152" i="5"/>
  <c r="AQ152" i="5" s="1"/>
  <c r="AP23" i="5"/>
  <c r="AP119" i="5"/>
  <c r="AP330" i="5"/>
  <c r="AO7" i="5"/>
  <c r="AQ7" i="5" s="1"/>
  <c r="AO15" i="5"/>
  <c r="AQ15" i="5" s="1"/>
  <c r="AP61" i="5"/>
  <c r="AP69" i="5"/>
  <c r="AP8" i="5"/>
  <c r="AP16" i="5"/>
  <c r="AP11" i="5"/>
  <c r="AP27" i="5"/>
  <c r="AP43" i="5"/>
  <c r="AP63" i="5"/>
  <c r="AP71" i="5"/>
  <c r="AP85" i="5"/>
  <c r="AO99" i="5"/>
  <c r="AQ99" i="5" s="1"/>
  <c r="AP99" i="5"/>
  <c r="AP75" i="5"/>
  <c r="AP83" i="5"/>
  <c r="AO163" i="5"/>
  <c r="AQ163" i="5" s="1"/>
  <c r="AO186" i="5"/>
  <c r="AQ186" i="5" s="1"/>
  <c r="AO210" i="5"/>
  <c r="AQ210" i="5" s="1"/>
  <c r="AO234" i="5"/>
  <c r="AQ234" i="5" s="1"/>
  <c r="AO258" i="5"/>
  <c r="AQ258" i="5" s="1"/>
  <c r="AO282" i="5"/>
  <c r="AQ282" i="5" s="1"/>
  <c r="AP86" i="5"/>
  <c r="AO155" i="5"/>
  <c r="AQ155" i="5" s="1"/>
  <c r="AO178" i="5"/>
  <c r="AQ178" i="5" s="1"/>
  <c r="AO198" i="5"/>
  <c r="AQ198" i="5" s="1"/>
  <c r="AO222" i="5"/>
  <c r="AQ222" i="5" s="1"/>
  <c r="AO246" i="5"/>
  <c r="AQ246" i="5" s="1"/>
  <c r="AO266" i="5"/>
  <c r="AQ266" i="5" s="1"/>
  <c r="AO290" i="5"/>
  <c r="AQ290" i="5" s="1"/>
  <c r="AO170" i="5"/>
  <c r="AQ170" i="5" s="1"/>
  <c r="AO194" i="5"/>
  <c r="AQ194" i="5" s="1"/>
  <c r="AO218" i="5"/>
  <c r="AQ218" i="5" s="1"/>
  <c r="AO242" i="5"/>
  <c r="AQ242" i="5" s="1"/>
  <c r="AO270" i="5"/>
  <c r="AQ270" i="5" s="1"/>
  <c r="AO298" i="5"/>
  <c r="AQ298" i="5" s="1"/>
  <c r="AP325" i="5"/>
  <c r="AP315" i="5"/>
  <c r="AP323" i="5"/>
  <c r="AP331" i="5"/>
  <c r="AP339" i="5"/>
  <c r="AP347" i="5"/>
  <c r="AP355" i="5"/>
  <c r="AP363" i="5"/>
  <c r="AP371" i="5"/>
  <c r="AP317" i="5"/>
  <c r="AP361" i="5"/>
  <c r="AP305" i="5"/>
  <c r="AP318" i="5"/>
  <c r="AP334" i="5"/>
  <c r="AP350" i="5"/>
  <c r="AP370" i="5"/>
  <c r="AP365" i="5"/>
  <c r="AP81" i="5"/>
  <c r="AP314" i="5"/>
  <c r="AP346" i="5"/>
  <c r="AP362" i="5"/>
  <c r="AO95" i="5"/>
  <c r="AQ95" i="5" s="1"/>
  <c r="AP95" i="5"/>
  <c r="AO135" i="5"/>
  <c r="AQ135" i="5" s="1"/>
  <c r="AO151" i="5"/>
  <c r="AQ151" i="5" s="1"/>
  <c r="AP77" i="5"/>
  <c r="AO396" i="5"/>
  <c r="AQ396" i="5" s="1"/>
  <c r="AP97" i="5"/>
  <c r="AO300" i="5"/>
  <c r="AQ300" i="5" s="1"/>
  <c r="AP309" i="5"/>
  <c r="AP333" i="5"/>
  <c r="AP366" i="5"/>
  <c r="AP329" i="5"/>
  <c r="AP386" i="5"/>
  <c r="AP307" i="5"/>
  <c r="AP322" i="5"/>
  <c r="AP338" i="5"/>
  <c r="AP354" i="5"/>
  <c r="AP337" i="5"/>
  <c r="AP303" i="5"/>
  <c r="AO19" i="5"/>
  <c r="AQ19" i="5" s="1"/>
  <c r="AP65" i="5"/>
  <c r="AP12" i="5"/>
  <c r="AP35" i="5"/>
  <c r="AP59" i="5"/>
  <c r="AP67" i="5"/>
  <c r="AO91" i="5"/>
  <c r="AQ91" i="5" s="1"/>
  <c r="AP91" i="5"/>
  <c r="AP80" i="5"/>
  <c r="AP79" i="5"/>
  <c r="AO157" i="5"/>
  <c r="AQ157" i="5" s="1"/>
  <c r="AO174" i="5"/>
  <c r="AQ174" i="5" s="1"/>
  <c r="AO202" i="5"/>
  <c r="AQ202" i="5" s="1"/>
  <c r="AO226" i="5"/>
  <c r="AQ226" i="5" s="1"/>
  <c r="AO250" i="5"/>
  <c r="AQ250" i="5" s="1"/>
  <c r="AO274" i="5"/>
  <c r="AQ274" i="5" s="1"/>
  <c r="AO294" i="5"/>
  <c r="AQ294" i="5" s="1"/>
  <c r="AO166" i="5"/>
  <c r="AQ166" i="5" s="1"/>
  <c r="AO190" i="5"/>
  <c r="AQ190" i="5" s="1"/>
  <c r="AO214" i="5"/>
  <c r="AQ214" i="5" s="1"/>
  <c r="AO238" i="5"/>
  <c r="AQ238" i="5" s="1"/>
  <c r="AO254" i="5"/>
  <c r="AQ254" i="5" s="1"/>
  <c r="AO278" i="5"/>
  <c r="AQ278" i="5" s="1"/>
  <c r="AO301" i="5"/>
  <c r="AQ301" i="5" s="1"/>
  <c r="AO182" i="5"/>
  <c r="AQ182" i="5" s="1"/>
  <c r="AO206" i="5"/>
  <c r="AQ206" i="5" s="1"/>
  <c r="AO230" i="5"/>
  <c r="AQ230" i="5" s="1"/>
  <c r="AO262" i="5"/>
  <c r="AQ262" i="5" s="1"/>
  <c r="AO286" i="5"/>
  <c r="AQ286" i="5" s="1"/>
  <c r="AP313" i="5"/>
  <c r="AP357" i="5"/>
  <c r="AP311" i="5"/>
  <c r="AP319" i="5"/>
  <c r="AP327" i="5"/>
  <c r="AP335" i="5"/>
  <c r="AP343" i="5"/>
  <c r="AP351" i="5"/>
  <c r="AP359" i="5"/>
  <c r="AP367" i="5"/>
  <c r="AP375" i="5"/>
  <c r="AP341" i="5"/>
  <c r="AP310" i="5"/>
  <c r="AP326" i="5"/>
  <c r="AP342" i="5"/>
  <c r="AP358" i="5"/>
  <c r="AP349" i="5"/>
  <c r="AL4" i="2" l="1"/>
  <c r="AM4" i="2"/>
  <c r="AL5" i="2"/>
  <c r="AM5" i="2"/>
  <c r="AL6" i="2"/>
  <c r="AM6" i="2"/>
  <c r="AL7" i="2"/>
  <c r="AM7" i="2"/>
  <c r="AL8" i="2"/>
  <c r="AM8" i="2"/>
  <c r="AL9" i="2"/>
  <c r="AM9" i="2"/>
  <c r="AL10" i="2"/>
  <c r="AM10" i="2"/>
  <c r="AL11" i="2"/>
  <c r="AM11" i="2"/>
  <c r="AL12" i="2"/>
  <c r="AM12" i="2"/>
  <c r="AL13" i="2"/>
  <c r="AM13" i="2"/>
  <c r="AL14" i="2"/>
  <c r="AM14" i="2"/>
  <c r="AL15" i="2"/>
  <c r="AM15" i="2"/>
  <c r="AL16" i="2"/>
  <c r="AM16" i="2"/>
  <c r="AL17" i="2"/>
  <c r="AM17" i="2"/>
  <c r="AL18" i="2"/>
  <c r="AM18" i="2"/>
  <c r="AL19" i="2"/>
  <c r="AM19" i="2"/>
  <c r="AL20" i="2"/>
  <c r="AM20" i="2"/>
  <c r="AL21" i="2"/>
  <c r="AM21" i="2"/>
  <c r="AL22" i="2"/>
  <c r="AM22" i="2"/>
  <c r="AL23" i="2"/>
  <c r="AM23" i="2"/>
  <c r="AL24" i="2"/>
  <c r="AM24" i="2"/>
  <c r="AL25" i="2"/>
  <c r="AM25" i="2"/>
  <c r="AL26" i="2"/>
  <c r="AM26" i="2"/>
  <c r="AL27" i="2"/>
  <c r="AM27" i="2"/>
  <c r="AL28" i="2"/>
  <c r="AM28" i="2"/>
  <c r="AL29" i="2"/>
  <c r="AM29" i="2"/>
  <c r="AL30" i="2"/>
  <c r="AM30" i="2"/>
  <c r="AL31" i="2"/>
  <c r="AM31" i="2"/>
  <c r="AL32" i="2"/>
  <c r="AM32" i="2"/>
  <c r="AL33" i="2"/>
  <c r="AM33" i="2"/>
  <c r="AL34" i="2"/>
  <c r="AM34" i="2"/>
  <c r="AL35" i="2"/>
  <c r="AM35" i="2"/>
  <c r="AL36" i="2"/>
  <c r="AM36" i="2"/>
  <c r="AL37" i="2"/>
  <c r="AM37" i="2"/>
  <c r="AL38" i="2"/>
  <c r="AM38" i="2"/>
  <c r="AL39" i="2"/>
  <c r="AM39" i="2"/>
  <c r="AL40" i="2"/>
  <c r="AM40" i="2"/>
  <c r="AL41" i="2"/>
  <c r="AM41" i="2"/>
  <c r="AL42" i="2"/>
  <c r="AM42" i="2"/>
  <c r="AL43" i="2"/>
  <c r="AM43" i="2"/>
  <c r="AL44" i="2"/>
  <c r="AM44" i="2"/>
  <c r="AL45" i="2"/>
  <c r="AM45" i="2"/>
  <c r="AL46" i="2"/>
  <c r="AM46" i="2"/>
  <c r="AL47" i="2"/>
  <c r="AM47" i="2"/>
  <c r="AL48" i="2"/>
  <c r="AM48" i="2"/>
  <c r="AL49" i="2"/>
  <c r="AM49" i="2"/>
  <c r="AL50" i="2"/>
  <c r="AM50" i="2"/>
  <c r="AL51" i="2"/>
  <c r="AM51" i="2"/>
  <c r="AL52" i="2"/>
  <c r="AM52" i="2"/>
  <c r="AL53" i="2"/>
  <c r="AM53" i="2"/>
  <c r="AL54" i="2"/>
  <c r="AM54" i="2"/>
  <c r="AL55" i="2"/>
  <c r="AM55" i="2"/>
  <c r="AL56" i="2"/>
  <c r="AM56" i="2"/>
  <c r="AL57" i="2"/>
  <c r="AM57" i="2"/>
  <c r="AL58" i="2"/>
  <c r="AM58" i="2"/>
  <c r="AL59" i="2"/>
  <c r="AM59" i="2"/>
  <c r="AL60" i="2"/>
  <c r="AM60" i="2"/>
  <c r="AL61" i="2"/>
  <c r="AM61" i="2"/>
  <c r="AL62" i="2"/>
  <c r="AM62" i="2"/>
  <c r="AL63" i="2"/>
  <c r="AM63" i="2"/>
  <c r="AL64" i="2"/>
  <c r="AM64" i="2"/>
  <c r="AL65" i="2"/>
  <c r="AM65" i="2"/>
  <c r="AL66" i="2"/>
  <c r="AM66" i="2"/>
  <c r="AL67" i="2"/>
  <c r="AM67" i="2"/>
  <c r="AL68" i="2"/>
  <c r="AM68" i="2"/>
  <c r="AL69" i="2"/>
  <c r="AM69" i="2"/>
  <c r="AL70" i="2"/>
  <c r="AM70" i="2"/>
  <c r="AL71" i="2"/>
  <c r="AM71" i="2"/>
  <c r="AL72" i="2"/>
  <c r="AM72" i="2"/>
  <c r="AL73" i="2"/>
  <c r="AM73" i="2"/>
  <c r="AL74" i="2"/>
  <c r="AM74" i="2"/>
  <c r="AL75" i="2"/>
  <c r="AM75" i="2"/>
  <c r="AL76" i="2"/>
  <c r="AM76" i="2"/>
  <c r="AL77" i="2"/>
  <c r="AM77" i="2"/>
  <c r="AL78" i="2"/>
  <c r="AM78" i="2"/>
  <c r="AL79" i="2"/>
  <c r="AM79" i="2"/>
  <c r="AL80" i="2"/>
  <c r="AM80" i="2"/>
  <c r="AL81" i="2"/>
  <c r="AM81" i="2"/>
  <c r="AL82" i="2"/>
  <c r="AM82" i="2"/>
  <c r="AL83" i="2"/>
  <c r="AM83" i="2"/>
  <c r="AL84" i="2"/>
  <c r="AM84" i="2"/>
  <c r="AL85" i="2"/>
  <c r="AM85" i="2"/>
  <c r="AL86" i="2"/>
  <c r="AM86" i="2"/>
  <c r="AL87" i="2"/>
  <c r="AM87" i="2"/>
  <c r="AL88" i="2"/>
  <c r="AM88" i="2"/>
  <c r="AL89" i="2"/>
  <c r="AM89" i="2"/>
  <c r="AL90" i="2"/>
  <c r="AM90" i="2"/>
  <c r="AL91" i="2"/>
  <c r="AM91" i="2"/>
  <c r="AL92" i="2"/>
  <c r="AM92" i="2"/>
  <c r="AL93" i="2"/>
  <c r="AM93" i="2"/>
  <c r="AL94" i="2"/>
  <c r="AM94" i="2"/>
  <c r="AL95" i="2"/>
  <c r="AM95" i="2"/>
  <c r="AL96" i="2"/>
  <c r="AM96" i="2"/>
  <c r="AL97" i="2"/>
  <c r="AM97" i="2"/>
  <c r="AL98" i="2"/>
  <c r="AM98" i="2"/>
  <c r="AL99" i="2"/>
  <c r="AM99" i="2"/>
  <c r="AL100" i="2"/>
  <c r="AM100" i="2"/>
  <c r="AL101" i="2"/>
  <c r="AM101" i="2"/>
  <c r="AL102" i="2"/>
  <c r="AM102" i="2"/>
  <c r="AL103" i="2"/>
  <c r="AM103" i="2"/>
  <c r="AL104" i="2"/>
  <c r="AM104" i="2"/>
  <c r="AL105" i="2"/>
  <c r="AM105" i="2"/>
  <c r="AL106" i="2"/>
  <c r="AM106" i="2"/>
  <c r="AL107" i="2"/>
  <c r="AM107" i="2"/>
  <c r="AL108" i="2"/>
  <c r="AM108" i="2"/>
  <c r="AL109" i="2"/>
  <c r="AM109" i="2"/>
  <c r="AL110" i="2"/>
  <c r="AM110" i="2"/>
  <c r="AL111" i="2"/>
  <c r="AM111" i="2"/>
  <c r="AL112" i="2"/>
  <c r="AM112" i="2"/>
  <c r="AL113" i="2"/>
  <c r="AM113" i="2"/>
  <c r="AL114" i="2"/>
  <c r="AM114" i="2"/>
  <c r="AL115" i="2"/>
  <c r="AM115" i="2"/>
  <c r="AL116" i="2"/>
  <c r="AM116" i="2"/>
  <c r="AL117" i="2"/>
  <c r="AM117" i="2"/>
  <c r="AL118" i="2"/>
  <c r="AM118" i="2"/>
  <c r="AL119" i="2"/>
  <c r="AM119" i="2"/>
  <c r="AL120" i="2"/>
  <c r="AM120" i="2"/>
  <c r="AL121" i="2"/>
  <c r="AM121" i="2"/>
  <c r="AL122" i="2"/>
  <c r="AM122" i="2"/>
  <c r="AL123" i="2"/>
  <c r="AM123" i="2"/>
  <c r="AL124" i="2"/>
  <c r="AM124" i="2"/>
  <c r="AL125" i="2"/>
  <c r="AM125" i="2"/>
  <c r="AL126" i="2"/>
  <c r="AM126" i="2"/>
  <c r="AL127" i="2"/>
  <c r="AM127" i="2"/>
  <c r="AL128" i="2"/>
  <c r="AM128" i="2"/>
  <c r="AL129" i="2"/>
  <c r="AM129" i="2"/>
  <c r="AL130" i="2"/>
  <c r="AM130" i="2"/>
  <c r="AL131" i="2"/>
  <c r="AM131" i="2"/>
  <c r="AL132" i="2"/>
  <c r="AM132" i="2"/>
  <c r="AL133" i="2"/>
  <c r="AM133" i="2"/>
  <c r="AL134" i="2"/>
  <c r="AM134" i="2"/>
  <c r="AL135" i="2"/>
  <c r="AM135" i="2"/>
  <c r="AL136" i="2"/>
  <c r="AM136" i="2"/>
  <c r="AL137" i="2"/>
  <c r="AM137" i="2"/>
  <c r="AL138" i="2"/>
  <c r="AM138" i="2"/>
  <c r="AL139" i="2"/>
  <c r="AM139" i="2"/>
  <c r="AL140" i="2"/>
  <c r="AM140" i="2"/>
  <c r="AL141" i="2"/>
  <c r="AM141" i="2"/>
  <c r="AL142" i="2"/>
  <c r="AM142" i="2"/>
  <c r="AL143" i="2"/>
  <c r="AM143" i="2"/>
  <c r="AL144" i="2"/>
  <c r="AM144" i="2"/>
  <c r="AL145" i="2"/>
  <c r="AM145" i="2"/>
  <c r="AL146" i="2"/>
  <c r="AM146" i="2"/>
  <c r="AL147" i="2"/>
  <c r="AM147" i="2"/>
  <c r="AL148" i="2"/>
  <c r="AM148" i="2"/>
  <c r="AL149" i="2"/>
  <c r="AM149" i="2"/>
  <c r="AL150" i="2"/>
  <c r="AM150" i="2"/>
  <c r="AL151" i="2"/>
  <c r="AM151" i="2"/>
  <c r="AL152" i="2"/>
  <c r="AM152" i="2"/>
  <c r="AL153" i="2"/>
  <c r="AM153" i="2"/>
  <c r="AL154" i="2"/>
  <c r="AM154" i="2"/>
  <c r="AL155" i="2"/>
  <c r="AM155" i="2"/>
  <c r="AL156" i="2"/>
  <c r="AM156" i="2"/>
  <c r="AL157" i="2"/>
  <c r="AM157" i="2"/>
  <c r="AL158" i="2"/>
  <c r="AM158" i="2"/>
  <c r="AL159" i="2"/>
  <c r="AM159" i="2"/>
  <c r="AL160" i="2"/>
  <c r="AM160" i="2"/>
  <c r="AL161" i="2"/>
  <c r="AM161" i="2"/>
  <c r="AL162" i="2"/>
  <c r="AM162" i="2"/>
  <c r="AL163" i="2"/>
  <c r="AM163" i="2"/>
  <c r="AL164" i="2"/>
  <c r="AM164" i="2"/>
  <c r="AL165" i="2"/>
  <c r="AM165" i="2"/>
  <c r="AL166" i="2"/>
  <c r="AM166" i="2"/>
  <c r="AL167" i="2"/>
  <c r="AM167" i="2"/>
  <c r="AL168" i="2"/>
  <c r="AM168" i="2"/>
  <c r="AL169" i="2"/>
  <c r="AM169" i="2"/>
  <c r="AL170" i="2"/>
  <c r="AM170" i="2"/>
  <c r="AL171" i="2"/>
  <c r="AM171" i="2"/>
  <c r="AL172" i="2"/>
  <c r="AM172" i="2"/>
  <c r="AL173" i="2"/>
  <c r="AM173" i="2"/>
  <c r="AL174" i="2"/>
  <c r="AM174" i="2"/>
  <c r="AL175" i="2"/>
  <c r="AM175" i="2"/>
  <c r="AL176" i="2"/>
  <c r="AM176" i="2"/>
  <c r="AL177" i="2"/>
  <c r="AM177" i="2"/>
  <c r="AL178" i="2"/>
  <c r="AM178" i="2"/>
  <c r="AL179" i="2"/>
  <c r="AM179" i="2"/>
  <c r="AL180" i="2"/>
  <c r="AM180" i="2"/>
  <c r="AL181" i="2"/>
  <c r="AM181" i="2"/>
  <c r="AL182" i="2"/>
  <c r="AM182" i="2"/>
  <c r="AL183" i="2"/>
  <c r="AM183" i="2"/>
  <c r="AL184" i="2"/>
  <c r="AM184" i="2"/>
  <c r="AL185" i="2"/>
  <c r="AM185" i="2"/>
  <c r="AL186" i="2"/>
  <c r="AM186" i="2"/>
  <c r="AL187" i="2"/>
  <c r="AM187" i="2"/>
  <c r="AL188" i="2"/>
  <c r="AM188" i="2"/>
  <c r="AL189" i="2"/>
  <c r="AM189" i="2"/>
  <c r="AL190" i="2"/>
  <c r="AM190" i="2"/>
  <c r="AL191" i="2"/>
  <c r="AM191" i="2"/>
  <c r="AL192" i="2"/>
  <c r="AM192" i="2"/>
  <c r="AL193" i="2"/>
  <c r="AM193" i="2"/>
  <c r="AL194" i="2"/>
  <c r="AM194" i="2"/>
  <c r="AL195" i="2"/>
  <c r="AM195" i="2"/>
  <c r="AL196" i="2"/>
  <c r="AM196" i="2"/>
  <c r="AL197" i="2"/>
  <c r="AM197" i="2"/>
  <c r="AL198" i="2"/>
  <c r="AM198" i="2"/>
  <c r="AL199" i="2"/>
  <c r="AM199" i="2"/>
  <c r="AL200" i="2"/>
  <c r="AM200" i="2"/>
  <c r="AL201" i="2"/>
  <c r="AM201" i="2"/>
  <c r="AL202" i="2"/>
  <c r="AM202" i="2"/>
  <c r="AL203" i="2"/>
  <c r="AM203" i="2"/>
  <c r="AL204" i="2"/>
  <c r="AM204" i="2"/>
  <c r="AL205" i="2"/>
  <c r="AM205" i="2"/>
  <c r="AL206" i="2"/>
  <c r="AM206" i="2"/>
  <c r="AL207" i="2"/>
  <c r="AM207" i="2"/>
  <c r="AL208" i="2"/>
  <c r="AM208" i="2"/>
  <c r="AL209" i="2"/>
  <c r="AM209" i="2"/>
  <c r="AL210" i="2"/>
  <c r="AM210" i="2"/>
  <c r="AL211" i="2"/>
  <c r="AM211" i="2"/>
  <c r="AL212" i="2"/>
  <c r="AM212" i="2"/>
  <c r="AL213" i="2"/>
  <c r="AM213" i="2"/>
  <c r="AL214" i="2"/>
  <c r="AM214" i="2"/>
  <c r="AL215" i="2"/>
  <c r="AM215" i="2"/>
  <c r="AL216" i="2"/>
  <c r="AM216" i="2"/>
  <c r="AL217" i="2"/>
  <c r="AM217" i="2"/>
  <c r="AL218" i="2"/>
  <c r="AM218" i="2"/>
  <c r="AL219" i="2"/>
  <c r="AM219" i="2"/>
  <c r="AL220" i="2"/>
  <c r="AM220" i="2"/>
  <c r="AL221" i="2"/>
  <c r="AM221" i="2"/>
  <c r="AL222" i="2"/>
  <c r="AM222" i="2"/>
  <c r="AL223" i="2"/>
  <c r="AM223" i="2"/>
  <c r="AL224" i="2"/>
  <c r="AM224" i="2"/>
  <c r="AL225" i="2"/>
  <c r="AM225" i="2"/>
  <c r="AL226" i="2"/>
  <c r="AM226" i="2"/>
  <c r="AL227" i="2"/>
  <c r="AM227" i="2"/>
  <c r="AL228" i="2"/>
  <c r="AM228" i="2"/>
  <c r="AL229" i="2"/>
  <c r="AM229" i="2"/>
  <c r="AL230" i="2"/>
  <c r="AM230" i="2"/>
  <c r="AN230" i="2" s="1"/>
  <c r="AO230" i="2" s="1"/>
  <c r="AQ230" i="2" s="1"/>
  <c r="AL231" i="2"/>
  <c r="AM231" i="2"/>
  <c r="AL232" i="2"/>
  <c r="AM232" i="2"/>
  <c r="AL233" i="2"/>
  <c r="AM233" i="2"/>
  <c r="AL234" i="2"/>
  <c r="AM234" i="2"/>
  <c r="AL235" i="2"/>
  <c r="AM235" i="2"/>
  <c r="AL236" i="2"/>
  <c r="AM236" i="2"/>
  <c r="AL237" i="2"/>
  <c r="AM237" i="2"/>
  <c r="AL238" i="2"/>
  <c r="AM238" i="2"/>
  <c r="AN238" i="2" s="1"/>
  <c r="AO238" i="2" s="1"/>
  <c r="AQ238" i="2" s="1"/>
  <c r="AL239" i="2"/>
  <c r="AM239" i="2"/>
  <c r="AL240" i="2"/>
  <c r="AM240" i="2"/>
  <c r="AL241" i="2"/>
  <c r="AM241" i="2"/>
  <c r="AL242" i="2"/>
  <c r="AM242" i="2"/>
  <c r="AL243" i="2"/>
  <c r="AM243" i="2"/>
  <c r="AL244" i="2"/>
  <c r="AM244" i="2"/>
  <c r="AL245" i="2"/>
  <c r="AM245" i="2"/>
  <c r="AL246" i="2"/>
  <c r="AM246" i="2"/>
  <c r="AL247" i="2"/>
  <c r="AM247" i="2"/>
  <c r="AL248" i="2"/>
  <c r="AM248" i="2"/>
  <c r="AL249" i="2"/>
  <c r="AM249" i="2"/>
  <c r="AL250" i="2"/>
  <c r="AM250" i="2"/>
  <c r="AL251" i="2"/>
  <c r="AM251" i="2"/>
  <c r="AL252" i="2"/>
  <c r="AM252" i="2"/>
  <c r="AL253" i="2"/>
  <c r="AM253" i="2"/>
  <c r="AL254" i="2"/>
  <c r="AM254" i="2"/>
  <c r="AL255" i="2"/>
  <c r="AM255" i="2"/>
  <c r="AL256" i="2"/>
  <c r="AM256" i="2"/>
  <c r="AL257" i="2"/>
  <c r="AM257" i="2"/>
  <c r="AL258" i="2"/>
  <c r="AM258" i="2"/>
  <c r="AL259" i="2"/>
  <c r="AM259" i="2"/>
  <c r="AL260" i="2"/>
  <c r="AM260" i="2"/>
  <c r="AL261" i="2"/>
  <c r="AM261" i="2"/>
  <c r="AL262" i="2"/>
  <c r="AM262" i="2"/>
  <c r="AL263" i="2"/>
  <c r="AM263" i="2"/>
  <c r="AL264" i="2"/>
  <c r="AM264" i="2"/>
  <c r="AL265" i="2"/>
  <c r="AM265" i="2"/>
  <c r="AL266" i="2"/>
  <c r="AM266" i="2"/>
  <c r="AL267" i="2"/>
  <c r="AM267" i="2"/>
  <c r="AL268" i="2"/>
  <c r="AM268" i="2"/>
  <c r="AL269" i="2"/>
  <c r="AM269" i="2"/>
  <c r="AL270" i="2"/>
  <c r="AM270" i="2"/>
  <c r="AL271" i="2"/>
  <c r="AM271" i="2"/>
  <c r="AL272" i="2"/>
  <c r="AM272" i="2"/>
  <c r="AL273" i="2"/>
  <c r="AM273" i="2"/>
  <c r="AL274" i="2"/>
  <c r="AM274" i="2"/>
  <c r="AL275" i="2"/>
  <c r="AM275" i="2"/>
  <c r="AL276" i="2"/>
  <c r="AM276" i="2"/>
  <c r="AL277" i="2"/>
  <c r="AM277" i="2"/>
  <c r="AL278" i="2"/>
  <c r="AM278" i="2"/>
  <c r="AL279" i="2"/>
  <c r="AM279" i="2"/>
  <c r="AL280" i="2"/>
  <c r="AM280" i="2"/>
  <c r="AL281" i="2"/>
  <c r="AM281" i="2"/>
  <c r="AL282" i="2"/>
  <c r="AM282" i="2"/>
  <c r="AL283" i="2"/>
  <c r="AM283" i="2"/>
  <c r="AL284" i="2"/>
  <c r="AM284" i="2"/>
  <c r="AL285" i="2"/>
  <c r="AM285" i="2"/>
  <c r="AL286" i="2"/>
  <c r="AM286" i="2"/>
  <c r="AL287" i="2"/>
  <c r="AM287" i="2"/>
  <c r="AL288" i="2"/>
  <c r="AM288" i="2"/>
  <c r="AL289" i="2"/>
  <c r="AM289" i="2"/>
  <c r="AL290" i="2"/>
  <c r="AM290" i="2"/>
  <c r="AL291" i="2"/>
  <c r="AM291" i="2"/>
  <c r="AL292" i="2"/>
  <c r="AM292" i="2"/>
  <c r="AL293" i="2"/>
  <c r="AM293" i="2"/>
  <c r="AL294" i="2"/>
  <c r="AM294" i="2"/>
  <c r="AL295" i="2"/>
  <c r="AM295" i="2"/>
  <c r="AL296" i="2"/>
  <c r="AM296" i="2"/>
  <c r="AL297" i="2"/>
  <c r="AM297" i="2"/>
  <c r="AL298" i="2"/>
  <c r="AM298" i="2"/>
  <c r="AL299" i="2"/>
  <c r="AM299" i="2"/>
  <c r="AL300" i="2"/>
  <c r="AM300" i="2"/>
  <c r="AL301" i="2"/>
  <c r="AM301" i="2"/>
  <c r="AL302" i="2"/>
  <c r="AM302" i="2"/>
  <c r="AL303" i="2"/>
  <c r="AM303" i="2"/>
  <c r="AL304" i="2"/>
  <c r="AM304" i="2"/>
  <c r="AL305" i="2"/>
  <c r="AM305" i="2"/>
  <c r="AL306" i="2"/>
  <c r="AM306" i="2"/>
  <c r="AL307" i="2"/>
  <c r="AM307" i="2"/>
  <c r="AL308" i="2"/>
  <c r="AM308" i="2"/>
  <c r="AL309" i="2"/>
  <c r="AM309" i="2"/>
  <c r="AL310" i="2"/>
  <c r="AM310" i="2"/>
  <c r="AL311" i="2"/>
  <c r="AM311" i="2"/>
  <c r="AL312" i="2"/>
  <c r="AM312" i="2"/>
  <c r="AL313" i="2"/>
  <c r="AM313" i="2"/>
  <c r="AL314" i="2"/>
  <c r="AM314" i="2"/>
  <c r="AL315" i="2"/>
  <c r="AM315" i="2"/>
  <c r="AL316" i="2"/>
  <c r="AM316" i="2"/>
  <c r="AL317" i="2"/>
  <c r="AM317" i="2"/>
  <c r="AL318" i="2"/>
  <c r="AM318" i="2"/>
  <c r="AL319" i="2"/>
  <c r="AM319" i="2"/>
  <c r="AL320" i="2"/>
  <c r="AM320" i="2"/>
  <c r="AL321" i="2"/>
  <c r="AM321" i="2"/>
  <c r="AL322" i="2"/>
  <c r="AM322" i="2"/>
  <c r="AL323" i="2"/>
  <c r="AM323" i="2"/>
  <c r="AL324" i="2"/>
  <c r="AM324" i="2"/>
  <c r="AL325" i="2"/>
  <c r="AM325" i="2"/>
  <c r="AL326" i="2"/>
  <c r="AM326" i="2"/>
  <c r="AL327" i="2"/>
  <c r="AM327" i="2"/>
  <c r="AL328" i="2"/>
  <c r="AM328" i="2"/>
  <c r="AL329" i="2"/>
  <c r="AM329" i="2"/>
  <c r="AL330" i="2"/>
  <c r="AM330" i="2"/>
  <c r="AL331" i="2"/>
  <c r="AM331" i="2"/>
  <c r="AL332" i="2"/>
  <c r="AM332" i="2"/>
  <c r="AL333" i="2"/>
  <c r="AM333" i="2"/>
  <c r="AL334" i="2"/>
  <c r="AM334" i="2"/>
  <c r="AL335" i="2"/>
  <c r="AM335" i="2"/>
  <c r="AL336" i="2"/>
  <c r="AM336" i="2"/>
  <c r="AL337" i="2"/>
  <c r="AM337" i="2"/>
  <c r="AL338" i="2"/>
  <c r="AM338" i="2"/>
  <c r="AL339" i="2"/>
  <c r="AM339" i="2"/>
  <c r="AL340" i="2"/>
  <c r="AM340" i="2"/>
  <c r="AL341" i="2"/>
  <c r="AM341" i="2"/>
  <c r="AL342" i="2"/>
  <c r="AM342" i="2"/>
  <c r="AL343" i="2"/>
  <c r="AM343" i="2"/>
  <c r="AL344" i="2"/>
  <c r="AM344" i="2"/>
  <c r="AL345" i="2"/>
  <c r="AM345" i="2"/>
  <c r="AL346" i="2"/>
  <c r="AM346" i="2"/>
  <c r="AL347" i="2"/>
  <c r="AM347" i="2"/>
  <c r="AL348" i="2"/>
  <c r="AM348" i="2"/>
  <c r="AL349" i="2"/>
  <c r="AM349" i="2"/>
  <c r="AL350" i="2"/>
  <c r="AM350" i="2"/>
  <c r="AL351" i="2"/>
  <c r="AM351" i="2"/>
  <c r="AL352" i="2"/>
  <c r="AM352" i="2"/>
  <c r="AL353" i="2"/>
  <c r="AM353" i="2"/>
  <c r="AL354" i="2"/>
  <c r="AM354" i="2"/>
  <c r="AL355" i="2"/>
  <c r="AM355" i="2"/>
  <c r="AL356" i="2"/>
  <c r="AM356" i="2"/>
  <c r="AL357" i="2"/>
  <c r="AM357" i="2"/>
  <c r="AL358" i="2"/>
  <c r="AM358" i="2"/>
  <c r="AL359" i="2"/>
  <c r="AM359" i="2"/>
  <c r="AL360" i="2"/>
  <c r="AM360" i="2"/>
  <c r="AL361" i="2"/>
  <c r="AM361" i="2"/>
  <c r="AL362" i="2"/>
  <c r="AM362" i="2"/>
  <c r="AL363" i="2"/>
  <c r="AM363" i="2"/>
  <c r="AL364" i="2"/>
  <c r="AM364" i="2"/>
  <c r="AL365" i="2"/>
  <c r="AM365" i="2"/>
  <c r="AL366" i="2"/>
  <c r="AM366" i="2"/>
  <c r="AL367" i="2"/>
  <c r="AM367" i="2"/>
  <c r="AL368" i="2"/>
  <c r="AM368" i="2"/>
  <c r="AL369" i="2"/>
  <c r="AM369" i="2"/>
  <c r="AL370" i="2"/>
  <c r="AM370" i="2"/>
  <c r="AL371" i="2"/>
  <c r="AM371" i="2"/>
  <c r="AL372" i="2"/>
  <c r="AM372" i="2"/>
  <c r="AL373" i="2"/>
  <c r="AM373" i="2"/>
  <c r="AL374" i="2"/>
  <c r="AM374" i="2"/>
  <c r="AL375" i="2"/>
  <c r="AM375" i="2"/>
  <c r="AL376" i="2"/>
  <c r="AM376" i="2"/>
  <c r="AL377" i="2"/>
  <c r="AM377" i="2"/>
  <c r="AL378" i="2"/>
  <c r="AM378" i="2"/>
  <c r="AL379" i="2"/>
  <c r="AM379" i="2"/>
  <c r="AL380" i="2"/>
  <c r="AM380" i="2"/>
  <c r="AL381" i="2"/>
  <c r="AM381" i="2"/>
  <c r="AL382" i="2"/>
  <c r="AM382" i="2"/>
  <c r="AL383" i="2"/>
  <c r="AM383" i="2"/>
  <c r="AL384" i="2"/>
  <c r="AM384" i="2"/>
  <c r="AL385" i="2"/>
  <c r="AM385" i="2"/>
  <c r="AL386" i="2"/>
  <c r="AM386" i="2"/>
  <c r="AL387" i="2"/>
  <c r="AM387" i="2"/>
  <c r="AL388" i="2"/>
  <c r="AM388" i="2"/>
  <c r="AL389" i="2"/>
  <c r="AM389" i="2"/>
  <c r="AL390" i="2"/>
  <c r="AM390" i="2"/>
  <c r="AL391" i="2"/>
  <c r="AM391" i="2"/>
  <c r="AL392" i="2"/>
  <c r="AM392" i="2"/>
  <c r="AL393" i="2"/>
  <c r="AM393" i="2"/>
  <c r="AL394" i="2"/>
  <c r="AM394" i="2"/>
  <c r="AL395" i="2"/>
  <c r="AM395" i="2"/>
  <c r="AL396" i="2"/>
  <c r="AM396" i="2"/>
  <c r="AL397" i="2"/>
  <c r="AM397" i="2"/>
  <c r="AL398" i="2"/>
  <c r="AM398" i="2"/>
  <c r="AL399" i="2"/>
  <c r="AM399" i="2"/>
  <c r="AL400" i="2"/>
  <c r="AM400" i="2"/>
  <c r="AL401" i="2"/>
  <c r="AM401" i="2"/>
  <c r="AL402" i="2"/>
  <c r="AM402" i="2"/>
  <c r="AN352" i="2" l="1"/>
  <c r="AN250" i="2"/>
  <c r="AO250" i="2" s="1"/>
  <c r="AQ250" i="2" s="1"/>
  <c r="AN129" i="2"/>
  <c r="AO129" i="2" s="1"/>
  <c r="AQ129" i="2" s="1"/>
  <c r="AN49" i="2"/>
  <c r="AO49" i="2" s="1"/>
  <c r="AQ49" i="2" s="1"/>
  <c r="AN33" i="2"/>
  <c r="AO33" i="2" s="1"/>
  <c r="AQ33" i="2" s="1"/>
  <c r="AN13" i="2"/>
  <c r="AN9" i="2"/>
  <c r="AN394" i="2"/>
  <c r="AO394" i="2" s="1"/>
  <c r="AN382" i="2"/>
  <c r="AO382" i="2" s="1"/>
  <c r="AQ382" i="2" s="1"/>
  <c r="AN378" i="2"/>
  <c r="AO378" i="2" s="1"/>
  <c r="AQ378" i="2" s="1"/>
  <c r="AN306" i="2"/>
  <c r="AO306" i="2" s="1"/>
  <c r="AQ306" i="2" s="1"/>
  <c r="AN298" i="2"/>
  <c r="AO298" i="2" s="1"/>
  <c r="AQ298" i="2" s="1"/>
  <c r="AN292" i="2"/>
  <c r="AO292" i="2" s="1"/>
  <c r="AQ292" i="2" s="1"/>
  <c r="AN284" i="2"/>
  <c r="AO284" i="2" s="1"/>
  <c r="AQ284" i="2" s="1"/>
  <c r="AN316" i="2"/>
  <c r="AO316" i="2" s="1"/>
  <c r="AQ316" i="2" s="1"/>
  <c r="AN308" i="2"/>
  <c r="AO308" i="2" s="1"/>
  <c r="AQ308" i="2" s="1"/>
  <c r="AN304" i="2"/>
  <c r="AO304" i="2" s="1"/>
  <c r="AQ304" i="2" s="1"/>
  <c r="AN300" i="2"/>
  <c r="AO300" i="2" s="1"/>
  <c r="AQ300" i="2" s="1"/>
  <c r="AN296" i="2"/>
  <c r="AO296" i="2" s="1"/>
  <c r="AQ296" i="2" s="1"/>
  <c r="AN276" i="2"/>
  <c r="AO276" i="2" s="1"/>
  <c r="AQ276" i="2" s="1"/>
  <c r="AN396" i="2"/>
  <c r="AO396" i="2" s="1"/>
  <c r="AQ396" i="2" s="1"/>
  <c r="AN381" i="2"/>
  <c r="AP381" i="2" s="1"/>
  <c r="AN384" i="2"/>
  <c r="AO384" i="2" s="1"/>
  <c r="AQ384" i="2" s="1"/>
  <c r="AN380" i="2"/>
  <c r="AO380" i="2" s="1"/>
  <c r="AQ380" i="2" s="1"/>
  <c r="AN105" i="2"/>
  <c r="AO105" i="2" s="1"/>
  <c r="AQ105" i="2" s="1"/>
  <c r="AN97" i="2"/>
  <c r="AO97" i="2" s="1"/>
  <c r="AQ97" i="2" s="1"/>
  <c r="AN385" i="2"/>
  <c r="AP385" i="2" s="1"/>
  <c r="AN365" i="2"/>
  <c r="AP365" i="2" s="1"/>
  <c r="AN121" i="2"/>
  <c r="AO121" i="2" s="1"/>
  <c r="AQ121" i="2" s="1"/>
  <c r="AO381" i="2"/>
  <c r="AQ381" i="2" s="1"/>
  <c r="AN226" i="2"/>
  <c r="AO226" i="2" s="1"/>
  <c r="AQ226" i="2" s="1"/>
  <c r="AN222" i="2"/>
  <c r="AN214" i="2"/>
  <c r="AO214" i="2" s="1"/>
  <c r="AQ214" i="2" s="1"/>
  <c r="AN210" i="2"/>
  <c r="AO210" i="2" s="1"/>
  <c r="AQ210" i="2" s="1"/>
  <c r="AN206" i="2"/>
  <c r="AO206" i="2" s="1"/>
  <c r="AQ206" i="2" s="1"/>
  <c r="AN204" i="2"/>
  <c r="AO204" i="2" s="1"/>
  <c r="AQ204" i="2" s="1"/>
  <c r="AN202" i="2"/>
  <c r="AO202" i="2" s="1"/>
  <c r="AQ202" i="2" s="1"/>
  <c r="AN359" i="2"/>
  <c r="AP359" i="2" s="1"/>
  <c r="AN127" i="2"/>
  <c r="AO127" i="2" s="1"/>
  <c r="AQ127" i="2" s="1"/>
  <c r="AN123" i="2"/>
  <c r="AO123" i="2" s="1"/>
  <c r="AQ123" i="2" s="1"/>
  <c r="AN131" i="2"/>
  <c r="AO131" i="2" s="1"/>
  <c r="AQ131" i="2" s="1"/>
  <c r="AN402" i="2"/>
  <c r="AO402" i="2" s="1"/>
  <c r="AQ402" i="2" s="1"/>
  <c r="AN366" i="2"/>
  <c r="AO366" i="2" s="1"/>
  <c r="AQ366" i="2" s="1"/>
  <c r="AN340" i="2"/>
  <c r="AO340" i="2" s="1"/>
  <c r="AQ340" i="2" s="1"/>
  <c r="AN336" i="2"/>
  <c r="AO336" i="2" s="1"/>
  <c r="AQ336" i="2" s="1"/>
  <c r="AN332" i="2"/>
  <c r="AO332" i="2" s="1"/>
  <c r="AQ332" i="2" s="1"/>
  <c r="AN328" i="2"/>
  <c r="AO328" i="2" s="1"/>
  <c r="AQ328" i="2" s="1"/>
  <c r="AN324" i="2"/>
  <c r="AO324" i="2" s="1"/>
  <c r="AQ324" i="2" s="1"/>
  <c r="AN274" i="2"/>
  <c r="AO274" i="2" s="1"/>
  <c r="AQ274" i="2" s="1"/>
  <c r="AN272" i="2"/>
  <c r="AO272" i="2" s="1"/>
  <c r="AQ272" i="2" s="1"/>
  <c r="AN268" i="2"/>
  <c r="AO268" i="2" s="1"/>
  <c r="AQ268" i="2" s="1"/>
  <c r="AN266" i="2"/>
  <c r="AO266" i="2" s="1"/>
  <c r="AQ266" i="2" s="1"/>
  <c r="AN258" i="2"/>
  <c r="AO258" i="2" s="1"/>
  <c r="AQ258" i="2" s="1"/>
  <c r="AN84" i="2"/>
  <c r="AN82" i="2"/>
  <c r="AP82" i="2" s="1"/>
  <c r="AN80" i="2"/>
  <c r="AP80" i="2" s="1"/>
  <c r="AN78" i="2"/>
  <c r="AP78" i="2" s="1"/>
  <c r="AN76" i="2"/>
  <c r="AP76" i="2" s="1"/>
  <c r="AN74" i="2"/>
  <c r="AP74" i="2" s="1"/>
  <c r="AN68" i="2"/>
  <c r="AP68" i="2" s="1"/>
  <c r="AN66" i="2"/>
  <c r="AO66" i="2" s="1"/>
  <c r="AQ66" i="2" s="1"/>
  <c r="AN64" i="2"/>
  <c r="AP64" i="2" s="1"/>
  <c r="AN62" i="2"/>
  <c r="AP62" i="2" s="1"/>
  <c r="AN60" i="2"/>
  <c r="AO60" i="2" s="1"/>
  <c r="AQ60" i="2" s="1"/>
  <c r="AN58" i="2"/>
  <c r="AP58" i="2" s="1"/>
  <c r="AN398" i="2"/>
  <c r="AO398" i="2" s="1"/>
  <c r="AQ398" i="2" s="1"/>
  <c r="AN104" i="2"/>
  <c r="AN117" i="2"/>
  <c r="AO117" i="2" s="1"/>
  <c r="AQ117" i="2" s="1"/>
  <c r="AN115" i="2"/>
  <c r="AO115" i="2" s="1"/>
  <c r="AQ115" i="2" s="1"/>
  <c r="AN113" i="2"/>
  <c r="AO113" i="2" s="1"/>
  <c r="AQ113" i="2" s="1"/>
  <c r="AN111" i="2"/>
  <c r="AO111" i="2" s="1"/>
  <c r="AQ111" i="2" s="1"/>
  <c r="AN95" i="2"/>
  <c r="AO95" i="2" s="1"/>
  <c r="AQ95" i="2" s="1"/>
  <c r="AN93" i="2"/>
  <c r="AO93" i="2" s="1"/>
  <c r="AQ93" i="2" s="1"/>
  <c r="AN91" i="2"/>
  <c r="AO91" i="2" s="1"/>
  <c r="AQ91" i="2" s="1"/>
  <c r="AN355" i="2"/>
  <c r="AP355" i="2" s="1"/>
  <c r="AN351" i="2"/>
  <c r="AP351" i="2" s="1"/>
  <c r="AN347" i="2"/>
  <c r="AP347" i="2" s="1"/>
  <c r="AN320" i="2"/>
  <c r="AO320" i="2" s="1"/>
  <c r="AQ320" i="2" s="1"/>
  <c r="AN288" i="2"/>
  <c r="AO288" i="2" s="1"/>
  <c r="AQ288" i="2" s="1"/>
  <c r="AN254" i="2"/>
  <c r="AO254" i="2" s="1"/>
  <c r="AQ254" i="2" s="1"/>
  <c r="AN246" i="2"/>
  <c r="AO246" i="2" s="1"/>
  <c r="AQ246" i="2" s="1"/>
  <c r="AN242" i="2"/>
  <c r="AO242" i="2" s="1"/>
  <c r="AQ242" i="2" s="1"/>
  <c r="AN107" i="2"/>
  <c r="AO107" i="2" s="1"/>
  <c r="AQ107" i="2" s="1"/>
  <c r="AN100" i="2"/>
  <c r="AO100" i="2" s="1"/>
  <c r="AQ100" i="2" s="1"/>
  <c r="AN52" i="2"/>
  <c r="AP52" i="2" s="1"/>
  <c r="AN48" i="2"/>
  <c r="AP48" i="2" s="1"/>
  <c r="AN44" i="2"/>
  <c r="AP44" i="2" s="1"/>
  <c r="AN401" i="2"/>
  <c r="AP401" i="2" s="1"/>
  <c r="AN390" i="2"/>
  <c r="AO390" i="2" s="1"/>
  <c r="AQ390" i="2" s="1"/>
  <c r="AN386" i="2"/>
  <c r="AO386" i="2" s="1"/>
  <c r="AQ386" i="2" s="1"/>
  <c r="AN374" i="2"/>
  <c r="AO374" i="2" s="1"/>
  <c r="AQ374" i="2" s="1"/>
  <c r="AN370" i="2"/>
  <c r="AO370" i="2" s="1"/>
  <c r="AQ370" i="2" s="1"/>
  <c r="AN368" i="2"/>
  <c r="AO368" i="2" s="1"/>
  <c r="AQ368" i="2" s="1"/>
  <c r="AN356" i="2"/>
  <c r="AO356" i="2" s="1"/>
  <c r="AQ356" i="2" s="1"/>
  <c r="AN348" i="2"/>
  <c r="AO348" i="2" s="1"/>
  <c r="AQ348" i="2" s="1"/>
  <c r="AN314" i="2"/>
  <c r="AO314" i="2" s="1"/>
  <c r="AQ314" i="2" s="1"/>
  <c r="AN312" i="2"/>
  <c r="AO312" i="2" s="1"/>
  <c r="AQ312" i="2" s="1"/>
  <c r="AN282" i="2"/>
  <c r="AO282" i="2" s="1"/>
  <c r="AQ282" i="2" s="1"/>
  <c r="AN280" i="2"/>
  <c r="AO280" i="2" s="1"/>
  <c r="AQ280" i="2" s="1"/>
  <c r="AN234" i="2"/>
  <c r="AO234" i="2" s="1"/>
  <c r="AQ234" i="2" s="1"/>
  <c r="AN218" i="2"/>
  <c r="AO218" i="2" s="1"/>
  <c r="AQ218" i="2" s="1"/>
  <c r="AN133" i="2"/>
  <c r="AO133" i="2" s="1"/>
  <c r="AQ133" i="2" s="1"/>
  <c r="AN125" i="2"/>
  <c r="AO125" i="2" s="1"/>
  <c r="AQ125" i="2" s="1"/>
  <c r="AN119" i="2"/>
  <c r="AO119" i="2" s="1"/>
  <c r="AQ119" i="2" s="1"/>
  <c r="AP104" i="2"/>
  <c r="AN98" i="2"/>
  <c r="AP98" i="2" s="1"/>
  <c r="AO68" i="2"/>
  <c r="AQ68" i="2" s="1"/>
  <c r="AN57" i="2"/>
  <c r="AO57" i="2" s="1"/>
  <c r="AQ57" i="2" s="1"/>
  <c r="AN53" i="2"/>
  <c r="AO53" i="2" s="1"/>
  <c r="AQ53" i="2" s="1"/>
  <c r="AN36" i="2"/>
  <c r="AO36" i="2" s="1"/>
  <c r="AQ36" i="2" s="1"/>
  <c r="AN34" i="2"/>
  <c r="AP34" i="2" s="1"/>
  <c r="AN32" i="2"/>
  <c r="AO32" i="2" s="1"/>
  <c r="AQ32" i="2" s="1"/>
  <c r="AN30" i="2"/>
  <c r="AO30" i="2" s="1"/>
  <c r="AQ30" i="2" s="1"/>
  <c r="AN28" i="2"/>
  <c r="AN26" i="2"/>
  <c r="AP26" i="2" s="1"/>
  <c r="AN22" i="2"/>
  <c r="AO22" i="2" s="1"/>
  <c r="AQ22" i="2" s="1"/>
  <c r="AN20" i="2"/>
  <c r="AP20" i="2" s="1"/>
  <c r="AN18" i="2"/>
  <c r="AO18" i="2" s="1"/>
  <c r="AQ18" i="2" s="1"/>
  <c r="AN8" i="2"/>
  <c r="AP8" i="2" s="1"/>
  <c r="AN6" i="2"/>
  <c r="AO6" i="2" s="1"/>
  <c r="AQ6" i="2" s="1"/>
  <c r="AN4" i="2"/>
  <c r="AP4" i="2" s="1"/>
  <c r="AN369" i="2"/>
  <c r="AO369" i="2" s="1"/>
  <c r="AQ369" i="2" s="1"/>
  <c r="AN349" i="2"/>
  <c r="AO349" i="2" s="1"/>
  <c r="AQ349" i="2" s="1"/>
  <c r="AN322" i="2"/>
  <c r="AO322" i="2" s="1"/>
  <c r="AQ322" i="2" s="1"/>
  <c r="AN290" i="2"/>
  <c r="AO290" i="2" s="1"/>
  <c r="AQ290" i="2" s="1"/>
  <c r="AN120" i="2"/>
  <c r="AP120" i="2" s="1"/>
  <c r="AN109" i="2"/>
  <c r="AO109" i="2" s="1"/>
  <c r="AQ109" i="2" s="1"/>
  <c r="AN102" i="2"/>
  <c r="AP102" i="2" s="1"/>
  <c r="AN96" i="2"/>
  <c r="AP96" i="2" s="1"/>
  <c r="AN50" i="2"/>
  <c r="AP50" i="2" s="1"/>
  <c r="AN46" i="2"/>
  <c r="AP46" i="2" s="1"/>
  <c r="AN42" i="2"/>
  <c r="AP42" i="2" s="1"/>
  <c r="AN400" i="2"/>
  <c r="AO400" i="2" s="1"/>
  <c r="AQ400" i="2" s="1"/>
  <c r="AN262" i="2"/>
  <c r="AO262" i="2" s="1"/>
  <c r="AQ262" i="2" s="1"/>
  <c r="AN41" i="2"/>
  <c r="AO41" i="2" s="1"/>
  <c r="AQ41" i="2" s="1"/>
  <c r="AN37" i="2"/>
  <c r="AO37" i="2" s="1"/>
  <c r="AQ37" i="2" s="1"/>
  <c r="AO352" i="2"/>
  <c r="AQ352" i="2" s="1"/>
  <c r="AN17" i="2"/>
  <c r="AN12" i="2"/>
  <c r="AO12" i="2" s="1"/>
  <c r="AQ12" i="2" s="1"/>
  <c r="AN10" i="2"/>
  <c r="AO10" i="2" s="1"/>
  <c r="AQ10" i="2" s="1"/>
  <c r="AN373" i="2"/>
  <c r="AP373" i="2" s="1"/>
  <c r="AN393" i="2"/>
  <c r="AO393" i="2" s="1"/>
  <c r="AQ393" i="2" s="1"/>
  <c r="AN388" i="2"/>
  <c r="AO388" i="2" s="1"/>
  <c r="AQ388" i="2" s="1"/>
  <c r="AO385" i="2"/>
  <c r="AQ385" i="2" s="1"/>
  <c r="AN377" i="2"/>
  <c r="AO377" i="2" s="1"/>
  <c r="AQ377" i="2" s="1"/>
  <c r="AN372" i="2"/>
  <c r="AO372" i="2" s="1"/>
  <c r="AQ372" i="2" s="1"/>
  <c r="AO355" i="2"/>
  <c r="AQ355" i="2" s="1"/>
  <c r="AN353" i="2"/>
  <c r="AO353" i="2" s="1"/>
  <c r="AQ353" i="2" s="1"/>
  <c r="AN343" i="2"/>
  <c r="AO343" i="2" s="1"/>
  <c r="AQ343" i="2" s="1"/>
  <c r="AO222" i="2"/>
  <c r="AQ222" i="2" s="1"/>
  <c r="AN132" i="2"/>
  <c r="AP132" i="2" s="1"/>
  <c r="AN103" i="2"/>
  <c r="AO103" i="2" s="1"/>
  <c r="AQ103" i="2" s="1"/>
  <c r="AO98" i="2"/>
  <c r="AQ98" i="2" s="1"/>
  <c r="AP95" i="2"/>
  <c r="AN88" i="2"/>
  <c r="AO88" i="2" s="1"/>
  <c r="AQ88" i="2" s="1"/>
  <c r="AN86" i="2"/>
  <c r="AP86" i="2" s="1"/>
  <c r="AN72" i="2"/>
  <c r="AN70" i="2"/>
  <c r="AP70" i="2" s="1"/>
  <c r="AN61" i="2"/>
  <c r="AP61" i="2" s="1"/>
  <c r="AN56" i="2"/>
  <c r="AN54" i="2"/>
  <c r="AP54" i="2" s="1"/>
  <c r="AN45" i="2"/>
  <c r="AP45" i="2" s="1"/>
  <c r="AN40" i="2"/>
  <c r="AN38" i="2"/>
  <c r="AP38" i="2" s="1"/>
  <c r="AN29" i="2"/>
  <c r="AO29" i="2" s="1"/>
  <c r="AQ29" i="2" s="1"/>
  <c r="AN24" i="2"/>
  <c r="AP24" i="2" s="1"/>
  <c r="AP18" i="2"/>
  <c r="AN389" i="2"/>
  <c r="AP389" i="2" s="1"/>
  <c r="AN397" i="2"/>
  <c r="AN392" i="2"/>
  <c r="AO392" i="2" s="1"/>
  <c r="AQ392" i="2" s="1"/>
  <c r="AN376" i="2"/>
  <c r="AO376" i="2" s="1"/>
  <c r="AQ376" i="2" s="1"/>
  <c r="AN363" i="2"/>
  <c r="AP363" i="2" s="1"/>
  <c r="AP322" i="2"/>
  <c r="AP306" i="2"/>
  <c r="AP282" i="2"/>
  <c r="AP266" i="2"/>
  <c r="AN99" i="2"/>
  <c r="AO99" i="2" s="1"/>
  <c r="AQ99" i="2" s="1"/>
  <c r="AO44" i="2"/>
  <c r="AQ44" i="2" s="1"/>
  <c r="AO28" i="2"/>
  <c r="AQ28" i="2" s="1"/>
  <c r="AN364" i="2"/>
  <c r="AO364" i="2" s="1"/>
  <c r="AQ364" i="2" s="1"/>
  <c r="AN326" i="2"/>
  <c r="AO326" i="2" s="1"/>
  <c r="AQ326" i="2" s="1"/>
  <c r="AN318" i="2"/>
  <c r="AO318" i="2" s="1"/>
  <c r="AQ318" i="2" s="1"/>
  <c r="AN310" i="2"/>
  <c r="AO310" i="2" s="1"/>
  <c r="AQ310" i="2" s="1"/>
  <c r="AN302" i="2"/>
  <c r="AO302" i="2" s="1"/>
  <c r="AQ302" i="2" s="1"/>
  <c r="AN294" i="2"/>
  <c r="AO294" i="2" s="1"/>
  <c r="AQ294" i="2" s="1"/>
  <c r="AN286" i="2"/>
  <c r="AO286" i="2" s="1"/>
  <c r="AQ286" i="2" s="1"/>
  <c r="AN278" i="2"/>
  <c r="AO278" i="2" s="1"/>
  <c r="AQ278" i="2" s="1"/>
  <c r="AN270" i="2"/>
  <c r="AO270" i="2" s="1"/>
  <c r="AQ270" i="2" s="1"/>
  <c r="AN101" i="2"/>
  <c r="AO101" i="2" s="1"/>
  <c r="AQ101" i="2" s="1"/>
  <c r="AN89" i="2"/>
  <c r="AO89" i="2" s="1"/>
  <c r="AQ89" i="2" s="1"/>
  <c r="AN21" i="2"/>
  <c r="AP21" i="2" s="1"/>
  <c r="AN16" i="2"/>
  <c r="AO16" i="2" s="1"/>
  <c r="AQ16" i="2" s="1"/>
  <c r="AN14" i="2"/>
  <c r="AO14" i="2" s="1"/>
  <c r="AQ14" i="2" s="1"/>
  <c r="AN5" i="2"/>
  <c r="AN330" i="2"/>
  <c r="AO330" i="2" s="1"/>
  <c r="AQ330" i="2" s="1"/>
  <c r="AN193" i="2"/>
  <c r="AP193" i="2" s="1"/>
  <c r="AN161" i="2"/>
  <c r="AP161" i="2" s="1"/>
  <c r="AN399" i="2"/>
  <c r="AP399" i="2" s="1"/>
  <c r="AN395" i="2"/>
  <c r="AP395" i="2" s="1"/>
  <c r="AN387" i="2"/>
  <c r="AP387" i="2" s="1"/>
  <c r="AP382" i="2"/>
  <c r="AN379" i="2"/>
  <c r="AP379" i="2" s="1"/>
  <c r="AN375" i="2"/>
  <c r="AP375" i="2" s="1"/>
  <c r="AN367" i="2"/>
  <c r="AO367" i="2" s="1"/>
  <c r="AQ367" i="2" s="1"/>
  <c r="AN361" i="2"/>
  <c r="AP361" i="2" s="1"/>
  <c r="AN342" i="2"/>
  <c r="AO342" i="2" s="1"/>
  <c r="AQ342" i="2" s="1"/>
  <c r="AN245" i="2"/>
  <c r="AP245" i="2" s="1"/>
  <c r="AN232" i="2"/>
  <c r="AO232" i="2" s="1"/>
  <c r="AQ232" i="2" s="1"/>
  <c r="AN213" i="2"/>
  <c r="AP213" i="2" s="1"/>
  <c r="AN194" i="2"/>
  <c r="AO194" i="2" s="1"/>
  <c r="AQ194" i="2" s="1"/>
  <c r="AN178" i="2"/>
  <c r="AO178" i="2" s="1"/>
  <c r="AQ178" i="2" s="1"/>
  <c r="AN162" i="2"/>
  <c r="AO162" i="2" s="1"/>
  <c r="AQ162" i="2" s="1"/>
  <c r="AN146" i="2"/>
  <c r="AO146" i="2" s="1"/>
  <c r="AQ146" i="2" s="1"/>
  <c r="AN357" i="2"/>
  <c r="AO357" i="2" s="1"/>
  <c r="AQ357" i="2" s="1"/>
  <c r="AN354" i="2"/>
  <c r="AO354" i="2" s="1"/>
  <c r="AQ354" i="2" s="1"/>
  <c r="AP352" i="2"/>
  <c r="AN341" i="2"/>
  <c r="AO341" i="2" s="1"/>
  <c r="AQ341" i="2" s="1"/>
  <c r="AN339" i="2"/>
  <c r="AP339" i="2" s="1"/>
  <c r="AN334" i="2"/>
  <c r="AO334" i="2" s="1"/>
  <c r="AQ334" i="2" s="1"/>
  <c r="AN331" i="2"/>
  <c r="AP331" i="2" s="1"/>
  <c r="AO331" i="2"/>
  <c r="AQ331" i="2" s="1"/>
  <c r="AP328" i="2"/>
  <c r="AP316" i="2"/>
  <c r="AP308" i="2"/>
  <c r="AP304" i="2"/>
  <c r="AP296" i="2"/>
  <c r="AP292" i="2"/>
  <c r="AP288" i="2"/>
  <c r="AP268" i="2"/>
  <c r="AN253" i="2"/>
  <c r="AP253" i="2" s="1"/>
  <c r="AN240" i="2"/>
  <c r="AO240" i="2" s="1"/>
  <c r="AQ240" i="2" s="1"/>
  <c r="AN221" i="2"/>
  <c r="AP221" i="2" s="1"/>
  <c r="AN208" i="2"/>
  <c r="AO208" i="2" s="1"/>
  <c r="AQ208" i="2" s="1"/>
  <c r="AN201" i="2"/>
  <c r="AP201" i="2" s="1"/>
  <c r="AN185" i="2"/>
  <c r="AP185" i="2" s="1"/>
  <c r="AN169" i="2"/>
  <c r="AP169" i="2" s="1"/>
  <c r="AN153" i="2"/>
  <c r="AP153" i="2" s="1"/>
  <c r="AN137" i="2"/>
  <c r="AP137" i="2" s="1"/>
  <c r="AN362" i="2"/>
  <c r="AO362" i="2" s="1"/>
  <c r="AQ362" i="2" s="1"/>
  <c r="AN346" i="2"/>
  <c r="AO346" i="2" s="1"/>
  <c r="AQ346" i="2" s="1"/>
  <c r="AN338" i="2"/>
  <c r="AO338" i="2" s="1"/>
  <c r="AQ338" i="2" s="1"/>
  <c r="AN335" i="2"/>
  <c r="AP335" i="2" s="1"/>
  <c r="AN256" i="2"/>
  <c r="AO256" i="2" s="1"/>
  <c r="AQ256" i="2" s="1"/>
  <c r="AN237" i="2"/>
  <c r="AP237" i="2" s="1"/>
  <c r="AN224" i="2"/>
  <c r="AO224" i="2" s="1"/>
  <c r="AQ224" i="2" s="1"/>
  <c r="AN177" i="2"/>
  <c r="AP177" i="2" s="1"/>
  <c r="AN145" i="2"/>
  <c r="AP145" i="2" s="1"/>
  <c r="AN391" i="2"/>
  <c r="AP391" i="2" s="1"/>
  <c r="AN383" i="2"/>
  <c r="AO383" i="2" s="1"/>
  <c r="AQ383" i="2" s="1"/>
  <c r="AP374" i="2"/>
  <c r="AN371" i="2"/>
  <c r="AP371" i="2" s="1"/>
  <c r="AP366" i="2"/>
  <c r="AN358" i="2"/>
  <c r="AO358" i="2" s="1"/>
  <c r="AQ358" i="2" s="1"/>
  <c r="AP356" i="2"/>
  <c r="AN345" i="2"/>
  <c r="AP345" i="2" s="1"/>
  <c r="AN264" i="2"/>
  <c r="AO264" i="2" s="1"/>
  <c r="AQ264" i="2" s="1"/>
  <c r="AP396" i="2"/>
  <c r="AP388" i="2"/>
  <c r="AP384" i="2"/>
  <c r="AP364" i="2"/>
  <c r="AN360" i="2"/>
  <c r="AO360" i="2" s="1"/>
  <c r="AQ360" i="2" s="1"/>
  <c r="AN350" i="2"/>
  <c r="AO350" i="2" s="1"/>
  <c r="AQ350" i="2" s="1"/>
  <c r="AN344" i="2"/>
  <c r="AO344" i="2" s="1"/>
  <c r="AQ344" i="2" s="1"/>
  <c r="AN261" i="2"/>
  <c r="AP261" i="2" s="1"/>
  <c r="AN248" i="2"/>
  <c r="AO248" i="2" s="1"/>
  <c r="AQ248" i="2" s="1"/>
  <c r="AN229" i="2"/>
  <c r="AP229" i="2" s="1"/>
  <c r="AN216" i="2"/>
  <c r="AO216" i="2" s="1"/>
  <c r="AQ216" i="2" s="1"/>
  <c r="AN186" i="2"/>
  <c r="AO186" i="2" s="1"/>
  <c r="AQ186" i="2" s="1"/>
  <c r="AN170" i="2"/>
  <c r="AO170" i="2" s="1"/>
  <c r="AQ170" i="2" s="1"/>
  <c r="AN154" i="2"/>
  <c r="AO154" i="2" s="1"/>
  <c r="AQ154" i="2" s="1"/>
  <c r="AN138" i="2"/>
  <c r="AO138" i="2" s="1"/>
  <c r="AQ138" i="2" s="1"/>
  <c r="AP340" i="2"/>
  <c r="AN337" i="2"/>
  <c r="AO337" i="2" s="1"/>
  <c r="AQ337" i="2" s="1"/>
  <c r="AN333" i="2"/>
  <c r="AO333" i="2" s="1"/>
  <c r="AQ333" i="2" s="1"/>
  <c r="AN329" i="2"/>
  <c r="AO329" i="2" s="1"/>
  <c r="AQ329" i="2" s="1"/>
  <c r="AN327" i="2"/>
  <c r="AP327" i="2" s="1"/>
  <c r="AN325" i="2"/>
  <c r="AO325" i="2" s="1"/>
  <c r="AQ325" i="2" s="1"/>
  <c r="AN323" i="2"/>
  <c r="AP323" i="2" s="1"/>
  <c r="AN321" i="2"/>
  <c r="AP321" i="2" s="1"/>
  <c r="AN319" i="2"/>
  <c r="AP319" i="2" s="1"/>
  <c r="AN317" i="2"/>
  <c r="AP317" i="2" s="1"/>
  <c r="AN315" i="2"/>
  <c r="AP315" i="2" s="1"/>
  <c r="AN313" i="2"/>
  <c r="AP313" i="2" s="1"/>
  <c r="AN311" i="2"/>
  <c r="AP311" i="2" s="1"/>
  <c r="AN309" i="2"/>
  <c r="AP309" i="2" s="1"/>
  <c r="AN307" i="2"/>
  <c r="AP307" i="2" s="1"/>
  <c r="AN305" i="2"/>
  <c r="AO305" i="2" s="1"/>
  <c r="AQ305" i="2" s="1"/>
  <c r="AN303" i="2"/>
  <c r="AP303" i="2" s="1"/>
  <c r="AN301" i="2"/>
  <c r="AO301" i="2" s="1"/>
  <c r="AQ301" i="2" s="1"/>
  <c r="AN299" i="2"/>
  <c r="AP299" i="2" s="1"/>
  <c r="AN297" i="2"/>
  <c r="AO297" i="2" s="1"/>
  <c r="AQ297" i="2" s="1"/>
  <c r="AN295" i="2"/>
  <c r="AP295" i="2" s="1"/>
  <c r="AN293" i="2"/>
  <c r="AO293" i="2" s="1"/>
  <c r="AQ293" i="2" s="1"/>
  <c r="AN291" i="2"/>
  <c r="AP291" i="2" s="1"/>
  <c r="AN289" i="2"/>
  <c r="AP289" i="2" s="1"/>
  <c r="AN287" i="2"/>
  <c r="AP287" i="2" s="1"/>
  <c r="AN285" i="2"/>
  <c r="AP285" i="2" s="1"/>
  <c r="AN283" i="2"/>
  <c r="AP283" i="2" s="1"/>
  <c r="AN281" i="2"/>
  <c r="AP281" i="2" s="1"/>
  <c r="AN279" i="2"/>
  <c r="AP279" i="2" s="1"/>
  <c r="AN277" i="2"/>
  <c r="AP277" i="2" s="1"/>
  <c r="AN275" i="2"/>
  <c r="AP275" i="2" s="1"/>
  <c r="AN273" i="2"/>
  <c r="AP273" i="2" s="1"/>
  <c r="AN271" i="2"/>
  <c r="AP271" i="2" s="1"/>
  <c r="AN269" i="2"/>
  <c r="AP269" i="2" s="1"/>
  <c r="AN267" i="2"/>
  <c r="AP267" i="2" s="1"/>
  <c r="AN265" i="2"/>
  <c r="AP265" i="2" s="1"/>
  <c r="AN260" i="2"/>
  <c r="AO260" i="2" s="1"/>
  <c r="AQ260" i="2" s="1"/>
  <c r="AN257" i="2"/>
  <c r="AP257" i="2" s="1"/>
  <c r="AN252" i="2"/>
  <c r="AO252" i="2" s="1"/>
  <c r="AQ252" i="2" s="1"/>
  <c r="AN249" i="2"/>
  <c r="AP249" i="2" s="1"/>
  <c r="AN244" i="2"/>
  <c r="AO244" i="2" s="1"/>
  <c r="AQ244" i="2" s="1"/>
  <c r="AN241" i="2"/>
  <c r="AP241" i="2" s="1"/>
  <c r="AN236" i="2"/>
  <c r="AO236" i="2" s="1"/>
  <c r="AQ236" i="2" s="1"/>
  <c r="AN233" i="2"/>
  <c r="AP233" i="2" s="1"/>
  <c r="AN228" i="2"/>
  <c r="AO228" i="2" s="1"/>
  <c r="AQ228" i="2" s="1"/>
  <c r="AN225" i="2"/>
  <c r="AP225" i="2" s="1"/>
  <c r="AO225" i="2"/>
  <c r="AQ225" i="2" s="1"/>
  <c r="AN220" i="2"/>
  <c r="AO220" i="2" s="1"/>
  <c r="AQ220" i="2" s="1"/>
  <c r="AN217" i="2"/>
  <c r="AP217" i="2" s="1"/>
  <c r="AN212" i="2"/>
  <c r="AO212" i="2" s="1"/>
  <c r="AQ212" i="2" s="1"/>
  <c r="AN209" i="2"/>
  <c r="AP209" i="2" s="1"/>
  <c r="AN197" i="2"/>
  <c r="AP197" i="2" s="1"/>
  <c r="AN189" i="2"/>
  <c r="AP189" i="2" s="1"/>
  <c r="AN181" i="2"/>
  <c r="AP181" i="2" s="1"/>
  <c r="AN173" i="2"/>
  <c r="AP173" i="2" s="1"/>
  <c r="AN165" i="2"/>
  <c r="AP165" i="2" s="1"/>
  <c r="AN157" i="2"/>
  <c r="AP157" i="2" s="1"/>
  <c r="AN149" i="2"/>
  <c r="AP149" i="2" s="1"/>
  <c r="AN141" i="2"/>
  <c r="AP141" i="2" s="1"/>
  <c r="AN198" i="2"/>
  <c r="AO198" i="2" s="1"/>
  <c r="AQ198" i="2" s="1"/>
  <c r="AN190" i="2"/>
  <c r="AO190" i="2" s="1"/>
  <c r="AQ190" i="2" s="1"/>
  <c r="AN182" i="2"/>
  <c r="AO182" i="2" s="1"/>
  <c r="AQ182" i="2" s="1"/>
  <c r="AN174" i="2"/>
  <c r="AO174" i="2" s="1"/>
  <c r="AQ174" i="2" s="1"/>
  <c r="AN166" i="2"/>
  <c r="AO166" i="2" s="1"/>
  <c r="AQ166" i="2" s="1"/>
  <c r="AN158" i="2"/>
  <c r="AO158" i="2" s="1"/>
  <c r="AQ158" i="2" s="1"/>
  <c r="AN150" i="2"/>
  <c r="AO150" i="2" s="1"/>
  <c r="AQ150" i="2" s="1"/>
  <c r="AN142" i="2"/>
  <c r="AO142" i="2" s="1"/>
  <c r="AQ142" i="2" s="1"/>
  <c r="AN134" i="2"/>
  <c r="AO134" i="2" s="1"/>
  <c r="AQ134" i="2" s="1"/>
  <c r="AN263" i="2"/>
  <c r="AO263" i="2" s="1"/>
  <c r="AQ263" i="2" s="1"/>
  <c r="AN259" i="2"/>
  <c r="AO259" i="2" s="1"/>
  <c r="AQ259" i="2" s="1"/>
  <c r="AN255" i="2"/>
  <c r="AO255" i="2" s="1"/>
  <c r="AQ255" i="2" s="1"/>
  <c r="AN251" i="2"/>
  <c r="AO251" i="2" s="1"/>
  <c r="AQ251" i="2" s="1"/>
  <c r="AP250" i="2"/>
  <c r="AN247" i="2"/>
  <c r="AO247" i="2" s="1"/>
  <c r="AQ247" i="2" s="1"/>
  <c r="AN243" i="2"/>
  <c r="AO243" i="2" s="1"/>
  <c r="AQ243" i="2" s="1"/>
  <c r="AN239" i="2"/>
  <c r="AO239" i="2" s="1"/>
  <c r="AQ239" i="2" s="1"/>
  <c r="AP238" i="2"/>
  <c r="AN235" i="2"/>
  <c r="AO235" i="2" s="1"/>
  <c r="AQ235" i="2" s="1"/>
  <c r="AN231" i="2"/>
  <c r="AO231" i="2" s="1"/>
  <c r="AQ231" i="2" s="1"/>
  <c r="AP230" i="2"/>
  <c r="AN227" i="2"/>
  <c r="AO227" i="2" s="1"/>
  <c r="AQ227" i="2" s="1"/>
  <c r="AP226" i="2"/>
  <c r="AN223" i="2"/>
  <c r="AO223" i="2" s="1"/>
  <c r="AQ223" i="2" s="1"/>
  <c r="AP222" i="2"/>
  <c r="AN219" i="2"/>
  <c r="AO219" i="2" s="1"/>
  <c r="AQ219" i="2" s="1"/>
  <c r="AN215" i="2"/>
  <c r="AO215" i="2" s="1"/>
  <c r="AQ215" i="2" s="1"/>
  <c r="AN211" i="2"/>
  <c r="AO211" i="2" s="1"/>
  <c r="AQ211" i="2" s="1"/>
  <c r="AP204" i="2"/>
  <c r="AN200" i="2"/>
  <c r="AO200" i="2" s="1"/>
  <c r="AQ200" i="2" s="1"/>
  <c r="AN199" i="2"/>
  <c r="AP199" i="2" s="1"/>
  <c r="AN196" i="2"/>
  <c r="AO196" i="2" s="1"/>
  <c r="AQ196" i="2" s="1"/>
  <c r="AN195" i="2"/>
  <c r="AP195" i="2" s="1"/>
  <c r="AN192" i="2"/>
  <c r="AO192" i="2" s="1"/>
  <c r="AQ192" i="2" s="1"/>
  <c r="AN191" i="2"/>
  <c r="AP191" i="2" s="1"/>
  <c r="AN188" i="2"/>
  <c r="AO188" i="2" s="1"/>
  <c r="AQ188" i="2" s="1"/>
  <c r="AN187" i="2"/>
  <c r="AP187" i="2" s="1"/>
  <c r="AN184" i="2"/>
  <c r="AO184" i="2" s="1"/>
  <c r="AQ184" i="2" s="1"/>
  <c r="AN183" i="2"/>
  <c r="AP183" i="2" s="1"/>
  <c r="AN180" i="2"/>
  <c r="AO180" i="2" s="1"/>
  <c r="AQ180" i="2" s="1"/>
  <c r="AN179" i="2"/>
  <c r="AP179" i="2" s="1"/>
  <c r="AN176" i="2"/>
  <c r="AO176" i="2" s="1"/>
  <c r="AQ176" i="2" s="1"/>
  <c r="AN175" i="2"/>
  <c r="AP175" i="2" s="1"/>
  <c r="AN172" i="2"/>
  <c r="AO172" i="2" s="1"/>
  <c r="AQ172" i="2" s="1"/>
  <c r="AN171" i="2"/>
  <c r="AP171" i="2" s="1"/>
  <c r="AN168" i="2"/>
  <c r="AO168" i="2" s="1"/>
  <c r="AQ168" i="2" s="1"/>
  <c r="AN167" i="2"/>
  <c r="AP167" i="2" s="1"/>
  <c r="AN164" i="2"/>
  <c r="AO164" i="2" s="1"/>
  <c r="AQ164" i="2" s="1"/>
  <c r="AN163" i="2"/>
  <c r="AP163" i="2" s="1"/>
  <c r="AN160" i="2"/>
  <c r="AO160" i="2" s="1"/>
  <c r="AQ160" i="2" s="1"/>
  <c r="AN159" i="2"/>
  <c r="AP159" i="2" s="1"/>
  <c r="AN156" i="2"/>
  <c r="AO156" i="2" s="1"/>
  <c r="AQ156" i="2" s="1"/>
  <c r="AN155" i="2"/>
  <c r="AP155" i="2" s="1"/>
  <c r="AN152" i="2"/>
  <c r="AO152" i="2" s="1"/>
  <c r="AQ152" i="2" s="1"/>
  <c r="AN151" i="2"/>
  <c r="AP151" i="2" s="1"/>
  <c r="AN148" i="2"/>
  <c r="AO148" i="2" s="1"/>
  <c r="AQ148" i="2" s="1"/>
  <c r="AN147" i="2"/>
  <c r="AP147" i="2" s="1"/>
  <c r="AN144" i="2"/>
  <c r="AO144" i="2" s="1"/>
  <c r="AQ144" i="2" s="1"/>
  <c r="AN143" i="2"/>
  <c r="AP143" i="2" s="1"/>
  <c r="AN140" i="2"/>
  <c r="AO140" i="2" s="1"/>
  <c r="AQ140" i="2" s="1"/>
  <c r="AN139" i="2"/>
  <c r="AP139" i="2" s="1"/>
  <c r="AN136" i="2"/>
  <c r="AO136" i="2" s="1"/>
  <c r="AQ136" i="2" s="1"/>
  <c r="AN135" i="2"/>
  <c r="AP135" i="2" s="1"/>
  <c r="AN205" i="2"/>
  <c r="AP205" i="2" s="1"/>
  <c r="AN207" i="2"/>
  <c r="AO207" i="2" s="1"/>
  <c r="AQ207" i="2" s="1"/>
  <c r="AP206" i="2"/>
  <c r="AN203" i="2"/>
  <c r="AP202" i="2"/>
  <c r="AN92" i="2"/>
  <c r="AP92" i="2" s="1"/>
  <c r="AP133" i="2"/>
  <c r="AN130" i="2"/>
  <c r="AO130" i="2" s="1"/>
  <c r="AQ130" i="2" s="1"/>
  <c r="AP129" i="2"/>
  <c r="AN126" i="2"/>
  <c r="AO126" i="2" s="1"/>
  <c r="AQ126" i="2" s="1"/>
  <c r="AN122" i="2"/>
  <c r="AP122" i="2" s="1"/>
  <c r="AN118" i="2"/>
  <c r="AP118" i="2" s="1"/>
  <c r="AP117" i="2"/>
  <c r="AN114" i="2"/>
  <c r="AP114" i="2" s="1"/>
  <c r="AN110" i="2"/>
  <c r="AO110" i="2" s="1"/>
  <c r="AQ110" i="2" s="1"/>
  <c r="AN106" i="2"/>
  <c r="AO106" i="2" s="1"/>
  <c r="AQ106" i="2" s="1"/>
  <c r="AP105" i="2"/>
  <c r="AO104" i="2"/>
  <c r="AQ104" i="2" s="1"/>
  <c r="AN94" i="2"/>
  <c r="AP94" i="2" s="1"/>
  <c r="AN90" i="2"/>
  <c r="AP90" i="2" s="1"/>
  <c r="AP131" i="2"/>
  <c r="AN128" i="2"/>
  <c r="AP128" i="2" s="1"/>
  <c r="AP127" i="2"/>
  <c r="AN124" i="2"/>
  <c r="AP124" i="2" s="1"/>
  <c r="AP123" i="2"/>
  <c r="AN116" i="2"/>
  <c r="AN112" i="2"/>
  <c r="AP111" i="2"/>
  <c r="AN108" i="2"/>
  <c r="AP107" i="2"/>
  <c r="AN87" i="2"/>
  <c r="AO87" i="2" s="1"/>
  <c r="AQ87" i="2" s="1"/>
  <c r="AN83" i="2"/>
  <c r="AO83" i="2" s="1"/>
  <c r="AQ83" i="2" s="1"/>
  <c r="AN79" i="2"/>
  <c r="AO79" i="2" s="1"/>
  <c r="AQ79" i="2" s="1"/>
  <c r="AN75" i="2"/>
  <c r="AO75" i="2" s="1"/>
  <c r="AQ75" i="2" s="1"/>
  <c r="AN71" i="2"/>
  <c r="AO71" i="2" s="1"/>
  <c r="AQ71" i="2" s="1"/>
  <c r="AN63" i="2"/>
  <c r="AO63" i="2" s="1"/>
  <c r="AQ63" i="2" s="1"/>
  <c r="AN35" i="2"/>
  <c r="AO35" i="2" s="1"/>
  <c r="AQ35" i="2" s="1"/>
  <c r="AN31" i="2"/>
  <c r="AO31" i="2" s="1"/>
  <c r="AQ31" i="2" s="1"/>
  <c r="AN27" i="2"/>
  <c r="AO27" i="2" s="1"/>
  <c r="AQ27" i="2" s="1"/>
  <c r="AN67" i="2"/>
  <c r="AO67" i="2" s="1"/>
  <c r="AQ67" i="2" s="1"/>
  <c r="AP60" i="2"/>
  <c r="AN59" i="2"/>
  <c r="AP59" i="2" s="1"/>
  <c r="AN55" i="2"/>
  <c r="AP55" i="2" s="1"/>
  <c r="AN51" i="2"/>
  <c r="AO51" i="2" s="1"/>
  <c r="AQ51" i="2" s="1"/>
  <c r="AN47" i="2"/>
  <c r="AP47" i="2" s="1"/>
  <c r="AN43" i="2"/>
  <c r="AP43" i="2" s="1"/>
  <c r="AN39" i="2"/>
  <c r="AO39" i="2" s="1"/>
  <c r="AQ39" i="2" s="1"/>
  <c r="AP36" i="2"/>
  <c r="AP32" i="2"/>
  <c r="AP28" i="2"/>
  <c r="AN23" i="2"/>
  <c r="AO23" i="2" s="1"/>
  <c r="AQ23" i="2" s="1"/>
  <c r="AN19" i="2"/>
  <c r="AP19" i="2" s="1"/>
  <c r="AN15" i="2"/>
  <c r="AP15" i="2" s="1"/>
  <c r="AN11" i="2"/>
  <c r="AP11" i="2" s="1"/>
  <c r="AN7" i="2"/>
  <c r="AP7" i="2" s="1"/>
  <c r="AN85" i="2"/>
  <c r="AO85" i="2" s="1"/>
  <c r="AQ85" i="2" s="1"/>
  <c r="AO82" i="2"/>
  <c r="AQ82" i="2" s="1"/>
  <c r="AN81" i="2"/>
  <c r="AO81" i="2" s="1"/>
  <c r="AQ81" i="2" s="1"/>
  <c r="AP81" i="2"/>
  <c r="AN77" i="2"/>
  <c r="AO77" i="2" s="1"/>
  <c r="AQ77" i="2" s="1"/>
  <c r="AO74" i="2"/>
  <c r="AQ74" i="2" s="1"/>
  <c r="AN73" i="2"/>
  <c r="AO73" i="2" s="1"/>
  <c r="AQ73" i="2" s="1"/>
  <c r="AO70" i="2"/>
  <c r="AQ70" i="2" s="1"/>
  <c r="AN69" i="2"/>
  <c r="AO69" i="2" s="1"/>
  <c r="AQ69" i="2" s="1"/>
  <c r="AN65" i="2"/>
  <c r="AO65" i="2" s="1"/>
  <c r="AQ65" i="2" s="1"/>
  <c r="AO62" i="2"/>
  <c r="AQ62" i="2" s="1"/>
  <c r="AP33" i="2"/>
  <c r="AN25" i="2"/>
  <c r="AO25" i="2" s="1"/>
  <c r="AQ25" i="2" s="1"/>
  <c r="AP25" i="2"/>
  <c r="AP17" i="2"/>
  <c r="AP13" i="2"/>
  <c r="AP9" i="2"/>
  <c r="AP5" i="2"/>
  <c r="AO17" i="2"/>
  <c r="AQ17" i="2" s="1"/>
  <c r="AO13" i="2"/>
  <c r="AQ13" i="2" s="1"/>
  <c r="AO9" i="2"/>
  <c r="AQ9" i="2" s="1"/>
  <c r="AO5" i="2"/>
  <c r="AQ5" i="2" s="1"/>
  <c r="AO15" i="2" l="1"/>
  <c r="AQ15" i="2" s="1"/>
  <c r="AP49" i="2"/>
  <c r="AP254" i="2"/>
  <c r="AO351" i="2"/>
  <c r="AQ351" i="2" s="1"/>
  <c r="AO213" i="2"/>
  <c r="AQ213" i="2" s="1"/>
  <c r="AO80" i="2"/>
  <c r="AQ80" i="2" s="1"/>
  <c r="AP349" i="2"/>
  <c r="AP380" i="2"/>
  <c r="AP324" i="2"/>
  <c r="AP298" i="2"/>
  <c r="AO365" i="2"/>
  <c r="AQ365" i="2" s="1"/>
  <c r="AO26" i="2"/>
  <c r="AQ26" i="2" s="1"/>
  <c r="AP29" i="2"/>
  <c r="AP65" i="2"/>
  <c r="AP176" i="2"/>
  <c r="AP394" i="2"/>
  <c r="AQ394" i="2" s="1"/>
  <c r="AP276" i="2"/>
  <c r="AO61" i="2"/>
  <c r="AQ61" i="2" s="1"/>
  <c r="AP376" i="2"/>
  <c r="AP378" i="2"/>
  <c r="AO43" i="2"/>
  <c r="AQ43" i="2" s="1"/>
  <c r="AP16" i="2"/>
  <c r="AP91" i="2"/>
  <c r="AP290" i="2"/>
  <c r="AO96" i="2"/>
  <c r="AQ96" i="2" s="1"/>
  <c r="AO102" i="2"/>
  <c r="AQ102" i="2" s="1"/>
  <c r="AP208" i="2"/>
  <c r="AP41" i="2"/>
  <c r="AO42" i="2"/>
  <c r="AQ42" i="2" s="1"/>
  <c r="AP97" i="2"/>
  <c r="AP214" i="2"/>
  <c r="AO387" i="2"/>
  <c r="AQ387" i="2" s="1"/>
  <c r="AP341" i="2"/>
  <c r="AP284" i="2"/>
  <c r="AP300" i="2"/>
  <c r="AO161" i="2"/>
  <c r="AQ161" i="2" s="1"/>
  <c r="AP99" i="2"/>
  <c r="AP272" i="2"/>
  <c r="AP37" i="2"/>
  <c r="AP12" i="2"/>
  <c r="AP113" i="2"/>
  <c r="AP121" i="2"/>
  <c r="AP210" i="2"/>
  <c r="AP218" i="2"/>
  <c r="AP234" i="2"/>
  <c r="AP242" i="2"/>
  <c r="AP182" i="2"/>
  <c r="AO371" i="2"/>
  <c r="AQ371" i="2" s="1"/>
  <c r="AP400" i="2"/>
  <c r="AP312" i="2"/>
  <c r="AP402" i="2"/>
  <c r="AO76" i="2"/>
  <c r="AQ76" i="2" s="1"/>
  <c r="AP274" i="2"/>
  <c r="AP6" i="2"/>
  <c r="AO20" i="2"/>
  <c r="AQ20" i="2" s="1"/>
  <c r="AP332" i="2"/>
  <c r="AO359" i="2"/>
  <c r="AQ359" i="2" s="1"/>
  <c r="AO64" i="2"/>
  <c r="AQ64" i="2" s="1"/>
  <c r="AP57" i="2"/>
  <c r="AP115" i="2"/>
  <c r="AO375" i="2"/>
  <c r="AQ375" i="2" s="1"/>
  <c r="AP398" i="2"/>
  <c r="AO169" i="2"/>
  <c r="AQ169" i="2" s="1"/>
  <c r="AO245" i="2"/>
  <c r="AQ245" i="2" s="1"/>
  <c r="AP93" i="2"/>
  <c r="AP314" i="2"/>
  <c r="AO373" i="2"/>
  <c r="AQ373" i="2" s="1"/>
  <c r="AP22" i="2"/>
  <c r="AO52" i="2"/>
  <c r="AQ52" i="2" s="1"/>
  <c r="AO45" i="2"/>
  <c r="AQ45" i="2" s="1"/>
  <c r="AO50" i="2"/>
  <c r="AQ50" i="2" s="1"/>
  <c r="AO78" i="2"/>
  <c r="AQ78" i="2" s="1"/>
  <c r="AP71" i="2"/>
  <c r="AP125" i="2"/>
  <c r="AP192" i="2"/>
  <c r="AO149" i="2"/>
  <c r="AQ149" i="2" s="1"/>
  <c r="AO165" i="2"/>
  <c r="AQ165" i="2" s="1"/>
  <c r="AO181" i="2"/>
  <c r="AQ181" i="2" s="1"/>
  <c r="AO197" i="2"/>
  <c r="AQ197" i="2" s="1"/>
  <c r="AO241" i="2"/>
  <c r="AQ241" i="2" s="1"/>
  <c r="AP392" i="2"/>
  <c r="AO339" i="2"/>
  <c r="AQ339" i="2" s="1"/>
  <c r="AP370" i="2"/>
  <c r="AP66" i="2"/>
  <c r="AP100" i="2"/>
  <c r="AP258" i="2"/>
  <c r="AP372" i="2"/>
  <c r="AP280" i="2"/>
  <c r="AO8" i="2"/>
  <c r="AQ8" i="2" s="1"/>
  <c r="AO401" i="2"/>
  <c r="AQ401" i="2" s="1"/>
  <c r="AO7" i="2"/>
  <c r="AQ7" i="2" s="1"/>
  <c r="AO55" i="2"/>
  <c r="AQ55" i="2" s="1"/>
  <c r="AO34" i="2"/>
  <c r="AQ34" i="2" s="1"/>
  <c r="AO58" i="2"/>
  <c r="AQ58" i="2" s="1"/>
  <c r="AO114" i="2"/>
  <c r="AQ114" i="2" s="1"/>
  <c r="AO205" i="2"/>
  <c r="AQ205" i="2" s="1"/>
  <c r="AP160" i="2"/>
  <c r="AO141" i="2"/>
  <c r="AQ141" i="2" s="1"/>
  <c r="AO157" i="2"/>
  <c r="AQ157" i="2" s="1"/>
  <c r="AO173" i="2"/>
  <c r="AQ173" i="2" s="1"/>
  <c r="AO189" i="2"/>
  <c r="AQ189" i="2" s="1"/>
  <c r="AO209" i="2"/>
  <c r="AQ209" i="2" s="1"/>
  <c r="AP336" i="2"/>
  <c r="AP348" i="2"/>
  <c r="AO363" i="2"/>
  <c r="AQ363" i="2" s="1"/>
  <c r="AO201" i="2"/>
  <c r="AQ201" i="2" s="1"/>
  <c r="AO221" i="2"/>
  <c r="AQ221" i="2" s="1"/>
  <c r="AP10" i="2"/>
  <c r="AO24" i="2"/>
  <c r="AQ24" i="2" s="1"/>
  <c r="AO389" i="2"/>
  <c r="AQ389" i="2" s="1"/>
  <c r="AP84" i="2"/>
  <c r="AO84" i="2"/>
  <c r="AQ84" i="2" s="1"/>
  <c r="AP101" i="2"/>
  <c r="AP156" i="2"/>
  <c r="AP172" i="2"/>
  <c r="AP188" i="2"/>
  <c r="AP369" i="2"/>
  <c r="AO21" i="2"/>
  <c r="AQ21" i="2" s="1"/>
  <c r="AP53" i="2"/>
  <c r="AP69" i="2"/>
  <c r="AO86" i="2"/>
  <c r="AQ86" i="2" s="1"/>
  <c r="AP87" i="2"/>
  <c r="AP103" i="2"/>
  <c r="AP109" i="2"/>
  <c r="AO132" i="2"/>
  <c r="AQ132" i="2" s="1"/>
  <c r="AP152" i="2"/>
  <c r="AP168" i="2"/>
  <c r="AP184" i="2"/>
  <c r="AP200" i="2"/>
  <c r="AP246" i="2"/>
  <c r="AP262" i="2"/>
  <c r="AO347" i="2"/>
  <c r="AQ347" i="2" s="1"/>
  <c r="AP368" i="2"/>
  <c r="AP386" i="2"/>
  <c r="AP360" i="2"/>
  <c r="AP320" i="2"/>
  <c r="AP353" i="2"/>
  <c r="AO120" i="2"/>
  <c r="AQ120" i="2" s="1"/>
  <c r="AP294" i="2"/>
  <c r="AO395" i="2"/>
  <c r="AQ395" i="2" s="1"/>
  <c r="AO38" i="2"/>
  <c r="AQ38" i="2" s="1"/>
  <c r="AO46" i="2"/>
  <c r="AQ46" i="2" s="1"/>
  <c r="AO54" i="2"/>
  <c r="AQ54" i="2" s="1"/>
  <c r="AP77" i="2"/>
  <c r="AP31" i="2"/>
  <c r="AP79" i="2"/>
  <c r="AP119" i="2"/>
  <c r="AO124" i="2"/>
  <c r="AQ124" i="2" s="1"/>
  <c r="AP164" i="2"/>
  <c r="AP180" i="2"/>
  <c r="AP196" i="2"/>
  <c r="AP150" i="2"/>
  <c r="AP231" i="2"/>
  <c r="AO257" i="2"/>
  <c r="AQ257" i="2" s="1"/>
  <c r="AO261" i="2"/>
  <c r="AQ261" i="2" s="1"/>
  <c r="AO361" i="2"/>
  <c r="AQ361" i="2" s="1"/>
  <c r="AO379" i="2"/>
  <c r="AQ379" i="2" s="1"/>
  <c r="AP390" i="2"/>
  <c r="AP30" i="2"/>
  <c r="AO48" i="2"/>
  <c r="AQ48" i="2" s="1"/>
  <c r="AO4" i="2"/>
  <c r="AQ4" i="2" s="1"/>
  <c r="AP106" i="2"/>
  <c r="AP136" i="2"/>
  <c r="AP140" i="2"/>
  <c r="AP144" i="2"/>
  <c r="AP148" i="2"/>
  <c r="AP227" i="2"/>
  <c r="AP293" i="2"/>
  <c r="AP297" i="2"/>
  <c r="AP305" i="2"/>
  <c r="AP14" i="2"/>
  <c r="AO397" i="2"/>
  <c r="AQ397" i="2" s="1"/>
  <c r="AP397" i="2"/>
  <c r="AO11" i="2"/>
  <c r="AQ11" i="2" s="1"/>
  <c r="AO19" i="2"/>
  <c r="AQ19" i="2" s="1"/>
  <c r="AO59" i="2"/>
  <c r="AQ59" i="2" s="1"/>
  <c r="AP85" i="2"/>
  <c r="AP39" i="2"/>
  <c r="AP75" i="2"/>
  <c r="AP83" i="2"/>
  <c r="AO118" i="2"/>
  <c r="AQ118" i="2" s="1"/>
  <c r="AO90" i="2"/>
  <c r="AQ90" i="2" s="1"/>
  <c r="AO92" i="2"/>
  <c r="AQ92" i="2" s="1"/>
  <c r="AO128" i="2"/>
  <c r="AQ128" i="2" s="1"/>
  <c r="AO135" i="2"/>
  <c r="AQ135" i="2" s="1"/>
  <c r="AO139" i="2"/>
  <c r="AQ139" i="2" s="1"/>
  <c r="AO143" i="2"/>
  <c r="AQ143" i="2" s="1"/>
  <c r="AO147" i="2"/>
  <c r="AQ147" i="2" s="1"/>
  <c r="AO151" i="2"/>
  <c r="AQ151" i="2" s="1"/>
  <c r="AO155" i="2"/>
  <c r="AQ155" i="2" s="1"/>
  <c r="AO159" i="2"/>
  <c r="AQ159" i="2" s="1"/>
  <c r="AO163" i="2"/>
  <c r="AQ163" i="2" s="1"/>
  <c r="AO167" i="2"/>
  <c r="AQ167" i="2" s="1"/>
  <c r="AO171" i="2"/>
  <c r="AQ171" i="2" s="1"/>
  <c r="AO175" i="2"/>
  <c r="AQ175" i="2" s="1"/>
  <c r="AO179" i="2"/>
  <c r="AQ179" i="2" s="1"/>
  <c r="AO183" i="2"/>
  <c r="AQ183" i="2" s="1"/>
  <c r="AO187" i="2"/>
  <c r="AQ187" i="2" s="1"/>
  <c r="AO191" i="2"/>
  <c r="AQ191" i="2" s="1"/>
  <c r="AO195" i="2"/>
  <c r="AQ195" i="2" s="1"/>
  <c r="AO199" i="2"/>
  <c r="AQ199" i="2" s="1"/>
  <c r="AP166" i="2"/>
  <c r="AP263" i="2"/>
  <c r="AO217" i="2"/>
  <c r="AQ217" i="2" s="1"/>
  <c r="AO249" i="2"/>
  <c r="AQ249" i="2" s="1"/>
  <c r="AO267" i="2"/>
  <c r="AQ267" i="2" s="1"/>
  <c r="AO271" i="2"/>
  <c r="AQ271" i="2" s="1"/>
  <c r="AO275" i="2"/>
  <c r="AQ275" i="2" s="1"/>
  <c r="AO279" i="2"/>
  <c r="AQ279" i="2" s="1"/>
  <c r="AO283" i="2"/>
  <c r="AQ283" i="2" s="1"/>
  <c r="AO287" i="2"/>
  <c r="AQ287" i="2" s="1"/>
  <c r="AO291" i="2"/>
  <c r="AQ291" i="2" s="1"/>
  <c r="AO295" i="2"/>
  <c r="AQ295" i="2" s="1"/>
  <c r="AO299" i="2"/>
  <c r="AQ299" i="2" s="1"/>
  <c r="AO303" i="2"/>
  <c r="AQ303" i="2" s="1"/>
  <c r="AO307" i="2"/>
  <c r="AQ307" i="2" s="1"/>
  <c r="AO311" i="2"/>
  <c r="AQ311" i="2" s="1"/>
  <c r="AO315" i="2"/>
  <c r="AQ315" i="2" s="1"/>
  <c r="AO319" i="2"/>
  <c r="AQ319" i="2" s="1"/>
  <c r="AO323" i="2"/>
  <c r="AQ323" i="2" s="1"/>
  <c r="AO327" i="2"/>
  <c r="AQ327" i="2" s="1"/>
  <c r="AP211" i="2"/>
  <c r="AP334" i="2"/>
  <c r="AP301" i="2"/>
  <c r="AP89" i="2"/>
  <c r="AP310" i="2"/>
  <c r="AP40" i="2"/>
  <c r="AO40" i="2"/>
  <c r="AQ40" i="2" s="1"/>
  <c r="AP56" i="2"/>
  <c r="AO56" i="2"/>
  <c r="AQ56" i="2" s="1"/>
  <c r="AP286" i="2"/>
  <c r="AP393" i="2"/>
  <c r="AP362" i="2"/>
  <c r="AP330" i="2"/>
  <c r="AP325" i="2"/>
  <c r="AP270" i="2"/>
  <c r="AP326" i="2"/>
  <c r="AP72" i="2"/>
  <c r="AO72" i="2"/>
  <c r="AQ72" i="2" s="1"/>
  <c r="AP302" i="2"/>
  <c r="AP343" i="2"/>
  <c r="AP51" i="2"/>
  <c r="AO122" i="2"/>
  <c r="AQ122" i="2" s="1"/>
  <c r="AP134" i="2"/>
  <c r="AP198" i="2"/>
  <c r="AO233" i="2"/>
  <c r="AQ233" i="2" s="1"/>
  <c r="AO265" i="2"/>
  <c r="AQ265" i="2" s="1"/>
  <c r="AO269" i="2"/>
  <c r="AQ269" i="2" s="1"/>
  <c r="AO273" i="2"/>
  <c r="AQ273" i="2" s="1"/>
  <c r="AO277" i="2"/>
  <c r="AQ277" i="2" s="1"/>
  <c r="AO281" i="2"/>
  <c r="AQ281" i="2" s="1"/>
  <c r="AO285" i="2"/>
  <c r="AQ285" i="2" s="1"/>
  <c r="AO289" i="2"/>
  <c r="AQ289" i="2" s="1"/>
  <c r="AO309" i="2"/>
  <c r="AQ309" i="2" s="1"/>
  <c r="AO313" i="2"/>
  <c r="AQ313" i="2" s="1"/>
  <c r="AO317" i="2"/>
  <c r="AQ317" i="2" s="1"/>
  <c r="AO321" i="2"/>
  <c r="AQ321" i="2" s="1"/>
  <c r="AO145" i="2"/>
  <c r="AQ145" i="2" s="1"/>
  <c r="AO137" i="2"/>
  <c r="AQ137" i="2" s="1"/>
  <c r="AP235" i="2"/>
  <c r="AP278" i="2"/>
  <c r="AP318" i="2"/>
  <c r="AP377" i="2"/>
  <c r="AP88" i="2"/>
  <c r="AO116" i="2"/>
  <c r="AQ116" i="2" s="1"/>
  <c r="AP116" i="2"/>
  <c r="AP67" i="2"/>
  <c r="AO112" i="2"/>
  <c r="AQ112" i="2" s="1"/>
  <c r="AP112" i="2"/>
  <c r="AP239" i="2"/>
  <c r="AP212" i="2"/>
  <c r="AP228" i="2"/>
  <c r="AP244" i="2"/>
  <c r="AP138" i="2"/>
  <c r="AP170" i="2"/>
  <c r="AP216" i="2"/>
  <c r="AO345" i="2"/>
  <c r="AQ345" i="2" s="1"/>
  <c r="AP240" i="2"/>
  <c r="AP146" i="2"/>
  <c r="AP178" i="2"/>
  <c r="AP342" i="2"/>
  <c r="AP367" i="2"/>
  <c r="AP23" i="2"/>
  <c r="AO108" i="2"/>
  <c r="AQ108" i="2" s="1"/>
  <c r="AP108" i="2"/>
  <c r="AO203" i="2"/>
  <c r="AQ203" i="2" s="1"/>
  <c r="AP203" i="2"/>
  <c r="AP110" i="2"/>
  <c r="AP130" i="2"/>
  <c r="AP142" i="2"/>
  <c r="AP158" i="2"/>
  <c r="AP174" i="2"/>
  <c r="AP190" i="2"/>
  <c r="AP215" i="2"/>
  <c r="AP247" i="2"/>
  <c r="AP219" i="2"/>
  <c r="AP248" i="2"/>
  <c r="AP329" i="2"/>
  <c r="AP350" i="2"/>
  <c r="AP264" i="2"/>
  <c r="AP224" i="2"/>
  <c r="AP256" i="2"/>
  <c r="AP338" i="2"/>
  <c r="AP243" i="2"/>
  <c r="AP357" i="2"/>
  <c r="AP259" i="2"/>
  <c r="AP383" i="2"/>
  <c r="AO47" i="2"/>
  <c r="AQ47" i="2" s="1"/>
  <c r="AP207" i="2"/>
  <c r="AP126" i="2"/>
  <c r="AP220" i="2"/>
  <c r="AP236" i="2"/>
  <c r="AP252" i="2"/>
  <c r="AP260" i="2"/>
  <c r="AP346" i="2"/>
  <c r="AP354" i="2"/>
  <c r="AP73" i="2"/>
  <c r="AP27" i="2"/>
  <c r="AP35" i="2"/>
  <c r="AP63" i="2"/>
  <c r="AO94" i="2"/>
  <c r="AQ94" i="2" s="1"/>
  <c r="AP223" i="2"/>
  <c r="AP255" i="2"/>
  <c r="AP154" i="2"/>
  <c r="AP186" i="2"/>
  <c r="AO229" i="2"/>
  <c r="AQ229" i="2" s="1"/>
  <c r="AP251" i="2"/>
  <c r="AP337" i="2"/>
  <c r="AO391" i="2"/>
  <c r="AQ391" i="2" s="1"/>
  <c r="AO399" i="2"/>
  <c r="AQ399" i="2" s="1"/>
  <c r="AP358" i="2"/>
  <c r="AO177" i="2"/>
  <c r="AQ177" i="2" s="1"/>
  <c r="AO237" i="2"/>
  <c r="AQ237" i="2" s="1"/>
  <c r="AO335" i="2"/>
  <c r="AQ335" i="2" s="1"/>
  <c r="AP344" i="2"/>
  <c r="AO153" i="2"/>
  <c r="AQ153" i="2" s="1"/>
  <c r="AO185" i="2"/>
  <c r="AQ185" i="2" s="1"/>
  <c r="AO253" i="2"/>
  <c r="AQ253" i="2" s="1"/>
  <c r="AP162" i="2"/>
  <c r="AP194" i="2"/>
  <c r="AP232" i="2"/>
  <c r="AP333" i="2"/>
  <c r="AO193" i="2"/>
  <c r="AQ193" i="2" s="1"/>
  <c r="AM3" i="2" l="1"/>
  <c r="AL3" i="2"/>
  <c r="AL3" i="5"/>
  <c r="AM3" i="5"/>
  <c r="AN3" i="5" l="1"/>
  <c r="AP3" i="5" s="1"/>
  <c r="AN3" i="2"/>
  <c r="AO3" i="2" s="1"/>
  <c r="AO3" i="5" l="1"/>
  <c r="AQ3" i="5" s="1"/>
  <c r="AP3" i="2"/>
  <c r="AQ3" i="2" s="1"/>
</calcChain>
</file>

<file path=xl/sharedStrings.xml><?xml version="1.0" encoding="utf-8"?>
<sst xmlns="http://schemas.openxmlformats.org/spreadsheetml/2006/main" count="756" uniqueCount="315">
  <si>
    <t>TURNO</t>
  </si>
  <si>
    <t>CLAVE CENTRO DE TRABAJO</t>
  </si>
  <si>
    <t>NÚM. PROGR.</t>
  </si>
  <si>
    <t>NOMBRE(S)</t>
  </si>
  <si>
    <t>APELLIDO PATERNO</t>
  </si>
  <si>
    <t>APELLIDO MATERNO</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</si>
  <si>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</si>
  <si>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</si>
  <si>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</si>
  <si>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</si>
  <si>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</si>
  <si>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</si>
  <si>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</si>
  <si>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</si>
  <si>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</si>
  <si>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</si>
  <si>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</si>
  <si>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</si>
  <si>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</si>
  <si>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</si>
  <si>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</si>
  <si>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</si>
  <si>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</si>
  <si>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</si>
  <si>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</si>
  <si>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</si>
  <si>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</si>
  <si>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</si>
  <si>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</si>
  <si>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</si>
  <si>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</si>
  <si>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</si>
  <si>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</si>
  <si>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</si>
  <si>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</si>
  <si>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</si>
  <si>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V</t>
  </si>
  <si>
    <t>Captura de respuestas</t>
  </si>
  <si>
    <r>
      <rPr>
        <b/>
        <sz val="22"/>
        <color theme="4" tint="-0.249977111117893"/>
        <rFont val="Calibri"/>
        <family val="2"/>
        <scheme val="minor"/>
      </rPr>
      <t>Recomendaciones:</t>
    </r>
    <r>
      <rPr>
        <sz val="16"/>
        <color theme="4" tint="-0.249977111117893"/>
        <rFont val="Calibri"/>
        <family val="2"/>
        <scheme val="minor"/>
      </rPr>
      <t xml:space="preserve">
Si al abrir el archivo aparece el mensaje</t>
    </r>
    <r>
      <rPr>
        <b/>
        <sz val="16"/>
        <color theme="4" tint="-0.249977111117893"/>
        <rFont val="Calibri"/>
        <family val="2"/>
        <scheme val="minor"/>
      </rPr>
      <t xml:space="preserve"> Advertencia de seguridad. Las macros se han deshabilitado.
</t>
    </r>
    <r>
      <rPr>
        <sz val="16"/>
        <color theme="4" tint="-0.249977111117893"/>
        <rFont val="Calibri"/>
        <family val="2"/>
        <scheme val="minor"/>
      </rPr>
      <t>Será suficiente con que pulse el botón</t>
    </r>
    <r>
      <rPr>
        <b/>
        <sz val="16"/>
        <color theme="4" tint="-0.249977111117893"/>
        <rFont val="Calibri"/>
        <family val="2"/>
        <scheme val="minor"/>
      </rPr>
      <t xml:space="preserve"> Habilitar contenido </t>
    </r>
    <r>
      <rPr>
        <sz val="16"/>
        <color theme="4" tint="-0.249977111117893"/>
        <rFont val="Calibri"/>
        <family val="2"/>
        <scheme val="minor"/>
      </rPr>
      <t xml:space="preserve">para iniciar el uso del archivo.
</t>
    </r>
    <r>
      <rPr>
        <sz val="22"/>
        <color theme="3" tint="-0.499984740745262"/>
        <rFont val="Calibri"/>
        <family val="2"/>
        <scheme val="minor"/>
      </rPr>
      <t xml:space="preserve">
</t>
    </r>
    <r>
      <rPr>
        <b/>
        <u/>
        <sz val="24"/>
        <color theme="3" tint="-0.499984740745262"/>
        <rFont val="Calibri"/>
        <family val="2"/>
        <scheme val="minor"/>
      </rPr>
      <t>No modifique la estructura del archivo</t>
    </r>
  </si>
  <si>
    <t>GRUPO</t>
  </si>
  <si>
    <t>I</t>
  </si>
  <si>
    <t>Total</t>
  </si>
  <si>
    <t>Número de reactivos</t>
  </si>
  <si>
    <t>Correctos</t>
  </si>
  <si>
    <t>Incorrectos</t>
  </si>
  <si>
    <t>Porcentaje de reactivos</t>
  </si>
  <si>
    <t>Español</t>
  </si>
  <si>
    <t>Matemáticas</t>
  </si>
  <si>
    <t>Resultados</t>
  </si>
  <si>
    <t>Distribución porcentual por Unidad de Análisis</t>
  </si>
  <si>
    <t>Porcentaje de reactivos correctos</t>
  </si>
  <si>
    <t>Porcentaje de reactivos incorrectos</t>
  </si>
  <si>
    <t>Distribución porcentual por Contenido</t>
  </si>
  <si>
    <r>
      <t xml:space="preserve">Gráfico
</t>
    </r>
    <r>
      <rPr>
        <b/>
        <sz val="12"/>
        <color theme="0"/>
        <rFont val="Calibri"/>
        <family val="2"/>
        <scheme val="minor"/>
      </rPr>
      <t>Identifique los contenidos con los logros más bajos</t>
    </r>
  </si>
  <si>
    <t>Aspectos sintácticos y semánticos</t>
  </si>
  <si>
    <t>Reactivos correctos</t>
  </si>
  <si>
    <t>Búsqueda y manejo de la información</t>
  </si>
  <si>
    <t>Reactivos incorrectos</t>
  </si>
  <si>
    <t>Comprensión e interpretación</t>
  </si>
  <si>
    <t>Conocimiento del sistema de escritura y ortografía</t>
  </si>
  <si>
    <t>Total porcentaje</t>
  </si>
  <si>
    <t>Número de reactivo</t>
  </si>
  <si>
    <t>Presionar</t>
  </si>
  <si>
    <t>Bloque</t>
  </si>
  <si>
    <t>Ámbito</t>
  </si>
  <si>
    <t>Aprendizaje esperado</t>
  </si>
  <si>
    <t>Unidad de Análisis</t>
  </si>
  <si>
    <t>Contenido</t>
  </si>
  <si>
    <t>Especificación</t>
  </si>
  <si>
    <t>Regresar a tabla</t>
  </si>
  <si>
    <t>Estudio</t>
  </si>
  <si>
    <t>Literatura</t>
  </si>
  <si>
    <t>Participación social</t>
  </si>
  <si>
    <t>II</t>
  </si>
  <si>
    <t>III</t>
  </si>
  <si>
    <t>IV</t>
  </si>
  <si>
    <t>Figuras y cuerpos</t>
  </si>
  <si>
    <t>Medida</t>
  </si>
  <si>
    <t>Números y sistemas de numeración</t>
  </si>
  <si>
    <t>Problemas aditivos</t>
  </si>
  <si>
    <t>Problemas multiplicativos</t>
  </si>
  <si>
    <t>Eje</t>
  </si>
  <si>
    <t>Libro del maestro
Libro del alumno</t>
  </si>
  <si>
    <t>Sentido numérico y pensamiento algebraico</t>
  </si>
  <si>
    <r>
      <rPr>
        <b/>
        <sz val="20"/>
        <color theme="4" tint="-0.249977111117893"/>
        <rFont val="Calibri"/>
        <family val="2"/>
        <scheme val="minor"/>
      </rPr>
      <t>Instrucciones.</t>
    </r>
    <r>
      <rPr>
        <sz val="20"/>
        <color theme="4" tint="-0.249977111117893"/>
        <rFont val="Calibri"/>
        <family val="2"/>
        <scheme val="minor"/>
      </rPr>
      <t xml:space="preserve"> Siga las indicaciones como se presentan en esta hoja para cada una de las asignaturas evaluadas.</t>
    </r>
  </si>
  <si>
    <r>
      <rPr>
        <b/>
        <sz val="48"/>
        <color theme="3" tint="-0.499984740745262"/>
        <rFont val="Calibri"/>
        <family val="2"/>
        <scheme val="minor"/>
      </rPr>
      <t xml:space="preserve">3 </t>
    </r>
    <r>
      <rPr>
        <b/>
        <sz val="24"/>
        <color theme="3" tint="-0.499984740745262"/>
        <rFont val="Calibri"/>
        <family val="2"/>
        <scheme val="minor"/>
      </rPr>
      <t>GUARDE EL ARCHIVO</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GUARDAR</t>
    </r>
    <r>
      <rPr>
        <sz val="14"/>
        <color theme="3" tint="-0.499984740745262"/>
        <rFont val="Calibri"/>
        <family val="2"/>
        <scheme val="minor"/>
      </rPr>
      <t xml:space="preserve"> (ubicado en la parte extrema derecha del formato), en el momento en el que desee guardar el archivo.
Automáticamente se desplegará una ventana de diálogo para seleccionar la ruta donde guardar el archivo.
</t>
    </r>
  </si>
  <si>
    <r>
      <t xml:space="preserve">REACTIVOS DE ESPAÑOL
</t>
    </r>
    <r>
      <rPr>
        <b/>
        <sz val="12"/>
        <color theme="0"/>
        <rFont val="Calibri"/>
        <family val="2"/>
        <scheme val="minor"/>
      </rPr>
      <t>Identifique los valores marcados en rojo y dé un click sobre ellos para consultar la tabla de Especificaciones de la prueba de Español</t>
    </r>
  </si>
  <si>
    <t>Adjetivos para describir personas, objetos y situaciones</t>
  </si>
  <si>
    <t>Anticipación de la trama de un cuento infantil a partir de ilustraciones</t>
  </si>
  <si>
    <t>Características de las leyendas indígenas (temas característicos de los personajes)</t>
  </si>
  <si>
    <t>Características y función de la nota informativa: encabezado  y cuerpo  (¿qué?, ¿quién?, ¿dónde?, ¿cuándo? y ¿cómo?)</t>
  </si>
  <si>
    <t>Organización gráfica de los textos</t>
  </si>
  <si>
    <t>Características y función de las listas y las tablas</t>
  </si>
  <si>
    <t>Propiedades y tipos de texto</t>
  </si>
  <si>
    <t>Concordancia de género y número</t>
  </si>
  <si>
    <t>Elaboración de preguntas para guiar la búsqueda de información</t>
  </si>
  <si>
    <t>Escritura convencional de palabras con dígrafos (ch, qu, ll)</t>
  </si>
  <si>
    <t>Frases adjetivas para describir paisajes</t>
  </si>
  <si>
    <t>Frases adjetivas para escribir mensajes</t>
  </si>
  <si>
    <t>Información relevante para responder a preguntas</t>
  </si>
  <si>
    <t>Interpretación del significado de las leyendas</t>
  </si>
  <si>
    <t>Mayúsculas al iniciar la escritura</t>
  </si>
  <si>
    <t>Ortografía y puntuación convencionales</t>
  </si>
  <si>
    <t>Palabras que indican secuencia temporal (primero, después, en la segunda semana, después de cinco días, finalmente)</t>
  </si>
  <si>
    <t>Pasajes y personajes más importantes de un cuento infantil</t>
  </si>
  <si>
    <t>Recreación de imágenes a través del lenguaje escrito</t>
  </si>
  <si>
    <t>Recurso gráficos de los instructivos</t>
  </si>
  <si>
    <t>Recursos gráficos en el cartel</t>
  </si>
  <si>
    <t>Repeticiones innecesarias, ambigüedades en los textos y frases incompletas</t>
  </si>
  <si>
    <t>Secuencia de la trama de un cuento infantil</t>
  </si>
  <si>
    <t>Segmentación convencional de la escritura</t>
  </si>
  <si>
    <t>Selección de información acerca de un tema</t>
  </si>
  <si>
    <t>Signos de interrogación</t>
  </si>
  <si>
    <t>Sílabas trabadas  (plátano, trompo, piedra, globo)</t>
  </si>
  <si>
    <t>Síntesis de información , manteniendo las ideas centrales</t>
  </si>
  <si>
    <t>Reseñar cuentos recuperando su trama</t>
  </si>
  <si>
    <t>Escritura convencional de palabras con dígrafos (ll,rr,ch)</t>
  </si>
  <si>
    <t>Localiza información específica en fuentes consultadas</t>
  </si>
  <si>
    <t>A partir de un texto expositivo breve (reactivo padre), identificar las afirmaciones falsas y verdaderas</t>
  </si>
  <si>
    <t>Páginas 19 a la 23 libro del maestro
Páginas 14 a la 15 libro del alumno</t>
  </si>
  <si>
    <t>Reconoce y utiliza diferentes signos de puntuación al escribir oraciones para satisfacer diversas intenciones comunicativas</t>
  </si>
  <si>
    <t>A partir de un texto expositivo breve (reactivo hijo), identificar la oración que sea pregunta</t>
  </si>
  <si>
    <t>Páginas 117 a la 119 libro del maestro
Páginas 100 a la 101 libro del alumno</t>
  </si>
  <si>
    <t>Aplica lo que ha aprendido sobre el sujeto y los adjetivos al completar una serie de oraciones</t>
  </si>
  <si>
    <t>A partir de un recuadro  con palabras, identificar las que completen la frase</t>
  </si>
  <si>
    <t>Páginas 35 a la 36 libro del maestro
Páginas 23 a la 24 libro del alumno</t>
  </si>
  <si>
    <t>Identifica la secuencia de acciones y personajes  principales en una fabula</t>
  </si>
  <si>
    <t>A partir de una fábula (reactivo padre), identificar los adjetivos que describan a  uno de los personajes</t>
  </si>
  <si>
    <t>Páginas 27 a la 28 libro del maestro
Páginas 18 a la 19 libro del alumno</t>
  </si>
  <si>
    <t>Identifica el orden de las palabras  en una oración como un elemento indispensable para que la idea que expresa pueda entenderse</t>
  </si>
  <si>
    <t>A partir de un listado de palabras, identificar en las que se utiliza correctamente la mayúscula</t>
  </si>
  <si>
    <t>Páginas 17 a la 18 libro del maestro
Páginas 12 a la 13 libro del alumno</t>
  </si>
  <si>
    <t>Separa nombres en sílabas como estrategia para conocer su escritura y pronunciación</t>
  </si>
  <si>
    <t>A partir de una tabla de palabras con dígrafos (ll,rr,ch) escritas correctamente e incorrectamente, identificar las que estén bien escritas</t>
  </si>
  <si>
    <t>Páginas 49 a la 50 libro del maestro
Páginas 34 a la 35 libro del alumno</t>
  </si>
  <si>
    <t>Identifica el orden de las palabras en una oración como un elemento indispensable para que la idea que expresa pueda entenderse</t>
  </si>
  <si>
    <t>A partir de una oración en desorden, identificar el orden correcto</t>
  </si>
  <si>
    <t>Páginas 33 a la 34 libro del maestro
Página 22 libro del alumno</t>
  </si>
  <si>
    <t>Utiliza palabras que indican secuencia temporal</t>
  </si>
  <si>
    <t>A partir de un listado de oraciones, identificar  la que indique secuencia temporal (primero, después, en la segunda semana , después de cinco días, finalmente)</t>
  </si>
  <si>
    <t>Páginas 68 a la 70 libro del maestro
Páginas 52 a la 54 libro del alumno</t>
  </si>
  <si>
    <t>Interpreta el contenido de un cuento infantil</t>
  </si>
  <si>
    <t>A partir de ilustraciones de un cuento breve (reactivo padre), identificar la trama</t>
  </si>
  <si>
    <t>Páginas 58 a la 59 libro del maestro
Páginas 41 a la 44 libro del alumno</t>
  </si>
  <si>
    <t>Identifica la secuencia de eventos y personajes principales en la trama de un cuento infantil</t>
  </si>
  <si>
    <t>A partir de ilustraciones de un cuento breve (reactivo hijo), identificar el personaje principal</t>
  </si>
  <si>
    <t>Páginas 60 a la 62 libro del maestro
Páginas 45 a la 47 libro del alumno</t>
  </si>
  <si>
    <t>Modifica el final de un cuento infantil recuperando su trama</t>
  </si>
  <si>
    <t>A partir de ilustraciones de un cuento breve (reactivo hijo), identificar la frase que modifica el final recuperando su trama</t>
  </si>
  <si>
    <t>Conoce las características generales de la nota informativa</t>
  </si>
  <si>
    <t>A partir de una nota informativa , identificar su función</t>
  </si>
  <si>
    <t>Páginas 51 a la 54 libro del maestro
Páginas 36 a la 40 libro del alumno</t>
  </si>
  <si>
    <t>Respeta la ortografía convencional y verifica la escritura de palabras con dígrafos o sílabas trabadas</t>
  </si>
  <si>
    <t>A partir de imágenes de objetos cuyos nombres se escriban con sílabas (tra, pla, glo, bru, etc.), identificar su escritura correcta</t>
  </si>
  <si>
    <t>Páginas 183 a la 187 libro del maestro
Páginas 152 a la 157 libro del alumno</t>
  </si>
  <si>
    <t>Disfruta la lectura de coplas y conozca sus características</t>
  </si>
  <si>
    <t>A partir de una copla breve, (reactivo padre), identificar la oración que la sintetiza</t>
  </si>
  <si>
    <t>Páginas 124 a la 126 libro del maestro
Páginas 106 a la 107 libro del alumno</t>
  </si>
  <si>
    <t>Emplea escritura convencional de palabras con dígrafos o sílabas trabadas</t>
  </si>
  <si>
    <t>A partir de imágenes de objetos cuyos nombres se escriben con dígrafos (ch, qu, ll), identificar la escritura correcta de sus nombres</t>
  </si>
  <si>
    <t>Páginas 114 a la 116 libro del maestro
Páginas 97 a la 99 libro del alumno</t>
  </si>
  <si>
    <t>Identifica y corrige errores de concordancia de género y número de reiteraciones innecesarias en sus textos</t>
  </si>
  <si>
    <t>A partir de un listado de artículos indeterminados, identificar las imágenes que les correspondan (género: masculino-femenino, número :singular - plural)</t>
  </si>
  <si>
    <t>Páginas 199 libro del maestro
Páginas 168 libro del alumno</t>
  </si>
  <si>
    <t>Reseña cuentos recuperando su trama</t>
  </si>
  <si>
    <t xml:space="preserve">A partir de un cuento breve, identificar la reseña  </t>
  </si>
  <si>
    <t>Emplea diferentes tipografías en la elaboración de carteles</t>
  </si>
  <si>
    <t>A partir de un cartel promoviendo  una actividad específica, identificar la  imagen que le corresponda</t>
  </si>
  <si>
    <t>Páginas 108 a la 110 libro del maestro
Páginas 93 a la 94 libro del alumno</t>
  </si>
  <si>
    <t>Selecciona frases adjetivas para escribir mensajes persuasivos</t>
  </si>
  <si>
    <t>A partir de un cartel publicitario  (reactivo padre), identificar la frase persuasiva</t>
  </si>
  <si>
    <t>Identifica la función y las características del cartel publicitario</t>
  </si>
  <si>
    <t>A partir de un cartel publicitario (reactivo hijo), identificar su función</t>
  </si>
  <si>
    <t>Plantea preguntas para guiar la búsqueda de información</t>
  </si>
  <si>
    <t>A partir de un texto expositivo breve (reactivo padre), identificar  las preguntas que permitan guiar la búsqueda de información sobre este</t>
  </si>
  <si>
    <t>Páginas 243 a la 245 libro del maestro
Páginas 208 a la 211 libro del alumno</t>
  </si>
  <si>
    <t>Recupera conocimientos previos para responder a preguntas</t>
  </si>
  <si>
    <t>A partir de un listado de preguntas con información de un texto expositivo breve (reactivo hijo), identificar su respuesta</t>
  </si>
  <si>
    <t>Comprende la relación entre imagen y texto</t>
  </si>
  <si>
    <t>A  partir de un texto descriptivo breve (reactivo padre), identificar la imagen que lo recree</t>
  </si>
  <si>
    <t>Páginas 73 a la 74 libro del maestro
Páginas 57 a la 58 libro del alumno</t>
  </si>
  <si>
    <t>Emplea adjetivos para la descripción de paisajes</t>
  </si>
  <si>
    <t>A partir de una imagen, identificar la frase que la describa</t>
  </si>
  <si>
    <t>Identifica la función y las características principales del instructivo</t>
  </si>
  <si>
    <t>A partir de un instructivo con imágenes (reactivo padre), identificar el paso en el que se realice una actividad determinada</t>
  </si>
  <si>
    <t>Páginas 259 a la 260 libro del maestro
Páginas 223 a la 225 libro del alumno</t>
  </si>
  <si>
    <t>Sigue instrucciones a partir de un texto escrito</t>
  </si>
  <si>
    <t>A partir de un instructivo con imágenes (reactivo hijo), identificar la imagen faltante</t>
  </si>
  <si>
    <t>Comprende y valora la diversidad cultural y lingüística a través de las leyendas</t>
  </si>
  <si>
    <t>A partir de una leyenda breve (reactivo padre), identificar su significado</t>
  </si>
  <si>
    <t>Páginas 85 a la 87 libro del maestro
Páginas 68 a la 70 libro del alumno</t>
  </si>
  <si>
    <t>Distingue las características de la leyenda</t>
  </si>
  <si>
    <t>A partir de una leyenda breve (reactivo hijo), identificar las características de uno de sus personajes</t>
  </si>
  <si>
    <t>Emplea listas y tablas para organizar la información</t>
  </si>
  <si>
    <t>A partir de una situación en la que se requiera elaborar un plan de trabajo, identificar la tabla de clasificación que le corresponda</t>
  </si>
  <si>
    <t>Respeta la ortografía y puntuación convencional de palabras al escribir un texto</t>
  </si>
  <si>
    <t>A partir de imágenes cuyo nombre inicie con h,  identificar su escritura correcta</t>
  </si>
  <si>
    <r>
      <t xml:space="preserve">REACTIVOS DE MATEMÁTICAS
</t>
    </r>
    <r>
      <rPr>
        <b/>
        <sz val="12"/>
        <color theme="0"/>
        <rFont val="Calibri"/>
        <family val="2"/>
        <scheme val="minor"/>
      </rPr>
      <t>Identifique los valores marcados en rojo y dé un click sobre ellos para consultar la tabla de Especificaciones de la prueba de Matemáticas</t>
    </r>
  </si>
  <si>
    <t>Análisis y uso de calendario  (meses, semanas, días).</t>
  </si>
  <si>
    <t>Comparación entre el tiempo para realizar dos o más actividades con diferentes unidades arbitrarias.</t>
  </si>
  <si>
    <t>Construcción de un repertorio  de resultados de sumas y restas que facilite el cálculo mental (descomposiciones aditivas de los números complementos a 10, etcétera)</t>
  </si>
  <si>
    <t>Determinación de resultados de adiciones al utilizar descomposiciones aditivas, propiedades de las operaciones, y resultados memorizados previamente.</t>
  </si>
  <si>
    <t>Determinación del valor de las cifras en función de su posición en la escritura de un número.</t>
  </si>
  <si>
    <t>Distinción entre problemas aditivos y multiplicativos.</t>
  </si>
  <si>
    <t>Elaboración de estrategias para facilitar el conteo de una colección numerosa (hacer agrupamientos de 10 en 10 o de 20 en 20).</t>
  </si>
  <si>
    <t>Escritura de números mediante descomposiciones aditivas en centenas, decenas y unidades.</t>
  </si>
  <si>
    <t>Estudio y afirmación de un algoritmo para la adición de números de dos cifras.</t>
  </si>
  <si>
    <t>Identificación de algunas diferencias entre la numeración oral y la escrita con números de hasta tres cifras.</t>
  </si>
  <si>
    <t>Identificación de la regularidad en sucesiones ascendentes con progresión aritmética, para intercalar o agregar números a la sucesión.</t>
  </si>
  <si>
    <t>Identificación de las características de números hasta tres cifras que forman un número para compararlo con otros números.</t>
  </si>
  <si>
    <t>Identificación de semejanzas y diferencias entre composiciones geométricas.</t>
  </si>
  <si>
    <t>Identificación y descripción de las características de figuras por la forma de sus lados.</t>
  </si>
  <si>
    <t>Identificación y descripción del patrón  en sucesiones construidas con figuras compuestas.</t>
  </si>
  <si>
    <t>Orden y comparación de números hasta tres cifras.</t>
  </si>
  <si>
    <t>Producción de sucesiones orales y escritas, ascendentes y descendentes de 5 en 5, de 10 en 10.</t>
  </si>
  <si>
    <t>Producción de sucesiones orales y escritas, ascendentes y descendentes, de 100 en 100. Anticipaciones a partir de las regularidades.</t>
  </si>
  <si>
    <t>Resolución de distintos tipos de problemas de división (reparto y agrupamiento) con divisores menores que 10, mediante distintos procedimientos.</t>
  </si>
  <si>
    <t>Resolución de distintos tipos de problemas de multiplicación  (relación proporcional entre medidas, arreglos rectangulares).</t>
  </si>
  <si>
    <t>Resolución de problemas de multiplicación con factores menores o iguales a 10, mediante sumas repetidas. Explicación de la multiplicación implícita en una suma repetida.</t>
  </si>
  <si>
    <t>Resolución de problemas de sustracción en situaciones correspondientes a distintos significados: complemento, diferencia.</t>
  </si>
  <si>
    <t>Resolución de problemas que implican adiciones y sustracciones donde sea necesario determinar la cantidad inicial antes de aumentar o disminuir.</t>
  </si>
  <si>
    <t>Resolución de problemas que involucren distintos significados de la adición y la sustracción (avanzar, comparar o retroceder).</t>
  </si>
  <si>
    <t>Resolución de problemas que involucren sumas iteradas o repartos mediante procedimientos diversos.</t>
  </si>
  <si>
    <t>Resolución de sustracciones utilizando descomposiciones aditivas, propiedades de las operaciones o resultados memorizados previamente.</t>
  </si>
  <si>
    <t>Uso de estrategias para calcular mentalmente algunos productos de dígitos.</t>
  </si>
  <si>
    <t>Intención didáctica</t>
  </si>
  <si>
    <t>Que los alumnos se den cuenta de que cualquier número de tres cifras es mayor que cualquier otro de dos cifras y que, entre dos números de tres cifras, es mayor el que empieza con la cifra mayor.</t>
  </si>
  <si>
    <t>A partir de diversos artículos con precio, identificar el de mayor o menor valor.</t>
  </si>
  <si>
    <t>Página 10 libro del maestro
Página 10 libro del alumno</t>
  </si>
  <si>
    <t>Que los alumnos agrupen elementos para realizar el conteo de una colección numerosa y que descubran agrupamientos con un número igual de elementos, que son prácticos para determinar un total.</t>
  </si>
  <si>
    <t>A partir de un conjunto de elementos, identificar el total con agrupamientos de 10 en 10 o de 20 en 20.</t>
  </si>
  <si>
    <t>Página 20 libro del maestro
Página 17 libro del alumno</t>
  </si>
  <si>
    <t>Que los alumnos asocien los signos de más (+) y menos (-) con la idea de avanzar y retroceder, respectivamente.</t>
  </si>
  <si>
    <t>A partir del planteamiento de un problema que implique los distintos significados de la adición (avanzar, comparar), identificar el resultado.</t>
  </si>
  <si>
    <t>Página 22 libro del maestro
Página 18 libro del alumno</t>
  </si>
  <si>
    <t>A partir del planteamiento de un problema que implique los distintos significados de la sustracción (retroceder, comparar), identificar el resultado.</t>
  </si>
  <si>
    <t>Que los alumnos busquen maneras de sumar mentalmente varias veces 10 o varias veces 2, de manera que se facilite el cálculo.</t>
  </si>
  <si>
    <t>A partir de una lista de sumas, identificar el resultado en descomposición aditiva.</t>
  </si>
  <si>
    <t>Página 28 libro del maestro
Página 22 libro del alumno</t>
  </si>
  <si>
    <t>Que los alumnos usen la suma iterada como paso previo a la multiplicación.</t>
  </si>
  <si>
    <t>A partir del planteamiento de un problema, identificar la suma iterada que lo resuelva.</t>
  </si>
  <si>
    <t>Página 38 libro del maestro
Página 29 libro del alumno</t>
  </si>
  <si>
    <t>Forma espacio y medida</t>
  </si>
  <si>
    <t>Que los alumnos construyan figuras compuestas a partir de la descripción.</t>
  </si>
  <si>
    <t>A partir de un conjunto de figuras geométricas, identificar las semejantes.</t>
  </si>
  <si>
    <t>Página 42 libro del maestro
Página 31 libro del alumno</t>
  </si>
  <si>
    <t>Que los alumnos busquen recursos para medir y comparar la duración de diversas actividades.</t>
  </si>
  <si>
    <t>A partir de una lista de actividades cotidianas, identificar la que requiera mayor tiempo.</t>
  </si>
  <si>
    <t>Página 47 libro del maestro
Página 33 libro del alumno</t>
  </si>
  <si>
    <t>A partir de una lista de actividades cotidianas, identificar la que requiera menor tiempo.</t>
  </si>
  <si>
    <t>Que los alumnos usen el cálculo mental al tener que anticipar el resultado de sumarle o restarle una cantidad a un número dado.</t>
  </si>
  <si>
    <t>A partir de los números inicial y final de una sucesión, identificar los que la completan.</t>
  </si>
  <si>
    <t>Página 54 libro del maestro
Página 36 libro del alumno</t>
  </si>
  <si>
    <t>Que los alumnos identifiquen la regularidad en sucesiones de figuras con progresión aritmética al tener que encontrar un término faltante o el siguiente.</t>
  </si>
  <si>
    <t>A partir de una sucesión de figuras con progresión aritmética, identificar los elementos faltantes.</t>
  </si>
  <si>
    <t>Página 58 libro del maestro
Página 38 libro del alumno</t>
  </si>
  <si>
    <t>Que los alumnos afiancen algunas técnicas para calcular mentalmente resultados de sumas con números de dos cifras, mediante la resolución de problemas leídos por el docente.</t>
  </si>
  <si>
    <t>A partir de un problema, identificar la descomposición aditiva que lo resuelva.</t>
  </si>
  <si>
    <t>Página 65 libro del maestro
Página 43 libro del alumno</t>
  </si>
  <si>
    <t>Que los alumnos reflexionen sobre la manera de relacionar los datos para resolver problemas de complemento o de diferencia, y cómo representar por escrito esa relación.</t>
  </si>
  <si>
    <t>A partir del planteamiento de un problema de complemento o diferencia, identificar el resultado.</t>
  </si>
  <si>
    <t>Página 69 libro del maestro
Página 45 libro del alumno</t>
  </si>
  <si>
    <t>Que los alumnos reflexionen sobre las características de las figuras geométricas (forma de los lados, número de lados, número de vértices).</t>
  </si>
  <si>
    <t>A partir de la descripción de características de una figura, identificar de qué figura se trata.</t>
  </si>
  <si>
    <t>Página 75 libro del maestro
Página 49 libro del alumno</t>
  </si>
  <si>
    <t>Que los alumnos adviertan el valor de las cifras según el tipo de agrupamiento que representan (unidades, decenas y centenas).</t>
  </si>
  <si>
    <t>A partir de un número de tres cifras, identificar el valor de una de las cifras en función de su posición.</t>
  </si>
  <si>
    <t>Página 82 libro del maestro
Página 52 libro del alumno</t>
  </si>
  <si>
    <t>Que los alumnos determinen el orden de números de tres cifras a partir de su descomposición en sumandos.</t>
  </si>
  <si>
    <t>A partir de un listado de números de tres cifras, identificar el de mayor o menor valor.</t>
  </si>
  <si>
    <t>Página 89 libro del maestro
Página 57 libro del alumno</t>
  </si>
  <si>
    <t>Que los alumnos, mediante un juego, realicen cálculos de sumas y restas en los que sea necesario determinar la cantidad de elementos que había en una colección antes de tener una transformación</t>
  </si>
  <si>
    <t>A partir del planteamiento de un problema donde sea necesario determinar  la cantidad inicial, identificar  la respuesta a través de la adición o sustracción.</t>
  </si>
  <si>
    <t>Página 97 libro del maestro
Página 63 libro del alumno</t>
  </si>
  <si>
    <t>Que los alumnos realicen mentalmente sumas de números con dos dígitos</t>
  </si>
  <si>
    <t>A partir del planteamiento de un problema aditivo con números de dos cifras, identificar la operación que lo resuelva.</t>
  </si>
  <si>
    <t>Página 102 libro del maestro
Página 66 libro del alumno</t>
  </si>
  <si>
    <t>Que los alumnos resuelvan problemas donde sea necesario agrupar y sumar varios sumandos iguales y después sumar los resultados obtenidos.</t>
  </si>
  <si>
    <t>A partir del planteamiento de un problema de multiplicación con factores menores o iguales a 10, identificar el resultado mediante sumas iteradas.</t>
  </si>
  <si>
    <t>Página 110 libro del maestro
Página 70 libro del alumno</t>
  </si>
  <si>
    <t>Que los alumnos reafirmen las reglas de la escritura numérica y las relacionen con la expresión oral de las cantidades.</t>
  </si>
  <si>
    <t>A partir de un número de tres cifras, identificar su escritura con letra.</t>
  </si>
  <si>
    <t>Página 120 libro del maestro
Página 76 libro del alumno</t>
  </si>
  <si>
    <t>Que los alumnos identifiquen y describan patrones de sucesiones de figuras compuestas por formas y colores.</t>
  </si>
  <si>
    <t>A partir de una sucesión de figuras compuestas, identificar la figura faltante.</t>
  </si>
  <si>
    <t>Página 122 libro del maestro
Página 77 libro del alumno</t>
  </si>
  <si>
    <t>Que los alumnos recurran a descomposiciones aditivas y resultados memorizados para realizar restas mentalmente.</t>
  </si>
  <si>
    <t>A partir del planteamiento de un problema que implique la sustracción, identificar la descomposición aditiva que lo resuelve.</t>
  </si>
  <si>
    <t>Página 127 libro del maestro
Página 80 libro del alumno</t>
  </si>
  <si>
    <t>Que los alumnos resuelvan problemas de proporcionalidad simple y directa entre dos magnitudes, mediante diversos procedimientos.</t>
  </si>
  <si>
    <t>A partir de un problema de proporcionalidad simple y directa entre dos magnitudes, identificar el resultado.</t>
  </si>
  <si>
    <t>Página 133 libro del maestro
Página 82 libro del alumno</t>
  </si>
  <si>
    <t>Que los alumnos distingan cuándo pueden sustituir la suma por la multiplicación.</t>
  </si>
  <si>
    <t>A partir de un problema aditivo, identificar la operación que permite resolverlo.</t>
  </si>
  <si>
    <t>Página 143 libro del maestro
Página 89 libro del alumno</t>
  </si>
  <si>
    <t>Que los alumnos utilicen la descomposición en cienes, dieces y unos para comparar números y realizar cálculos.</t>
  </si>
  <si>
    <t>A partir de la descomposición de un número en centenas, decenas y unidades, identificar su estructura sintética.</t>
  </si>
  <si>
    <t>Página 150 libro del maestro
Página 94 libro del alumno</t>
  </si>
  <si>
    <t>Que los alumnos analicen y establezcan algunas regularidades en la escritura numérica de números hasta el1000.</t>
  </si>
  <si>
    <t>A partir de una sucesión numérica ascendente con un número inicial y un intermedio, identificar los números que la completan.</t>
  </si>
  <si>
    <t>Página 161 libro del maestro
Página 101 libro del alumno</t>
  </si>
  <si>
    <t>A partir de una sucesión numérica descendente con un número final y dos intermedios, identificar los números que la completan.</t>
  </si>
  <si>
    <t>Que los alumnos usen diversas estrategias, como el producto memorizado de algunos dígitos, sumas reiteradas u otras que les permitan resolver mentalmente problemas.</t>
  </si>
  <si>
    <t>A partir de imágenes de monedas de diversas denominaciones, identificar el doble de la cantidad.</t>
  </si>
  <si>
    <t>Página 171 libro del maestro
Página 108 libro del alumno</t>
  </si>
  <si>
    <t>Que los alumnos resuelvan problemas de división que impliquen reparto sin aplicar el algoritmo.</t>
  </si>
  <si>
    <t>A partir del planteamiento de un problema que implique reparto o agrupamiento, identificar el resultado.</t>
  </si>
  <si>
    <t>Página 177 libro del maestro
Página 111 libro del alumno</t>
  </si>
  <si>
    <t>Que los alumnos identifiquen y utilicen el calendario (meses, semanas y días; orden y duración de los meses) para localizar fechas relevantes.</t>
  </si>
  <si>
    <t>A partir de la imagen de un mes del calendario, identificar el número de semanas o de un día específico (lunes, martes, etc.)</t>
  </si>
  <si>
    <t>Página 184 libro del maestro
Página 115 libro del alumno</t>
  </si>
  <si>
    <r>
      <t xml:space="preserve">Evaluación Estatal diagnóstica para el ingreso a 3° grado de Educación Primaria
</t>
    </r>
    <r>
      <rPr>
        <b/>
        <sz val="36"/>
        <color theme="1" tint="0.34998626667073579"/>
        <rFont val="Calibri"/>
        <family val="2"/>
        <scheme val="minor"/>
      </rPr>
      <t>EEDIT-PRIM-2019</t>
    </r>
  </si>
  <si>
    <t>Sistema de Captura y Calificación Digital por escuela 3° grado</t>
  </si>
  <si>
    <r>
      <rPr>
        <b/>
        <sz val="48"/>
        <color theme="3" tint="-0.499984740745262"/>
        <rFont val="Calibri"/>
        <family val="2"/>
        <scheme val="minor"/>
      </rPr>
      <t xml:space="preserve">1 </t>
    </r>
    <r>
      <rPr>
        <b/>
        <sz val="22"/>
        <color theme="3" tint="-0.499984740745262"/>
        <rFont val="Calibri"/>
        <family val="2"/>
        <scheme val="minor"/>
      </rPr>
      <t>COPIAR INFORMACIÓN</t>
    </r>
    <r>
      <rPr>
        <b/>
        <sz val="16"/>
        <color theme="3" tint="-0.499984740745262"/>
        <rFont val="Calibri"/>
        <family val="2"/>
        <scheme val="minor"/>
      </rPr>
      <t xml:space="preserve">
</t>
    </r>
    <r>
      <rPr>
        <sz val="14"/>
        <color theme="3" tint="-0.499984740745262"/>
        <rFont val="Calibri"/>
        <family val="2"/>
        <scheme val="minor"/>
      </rPr>
      <t xml:space="preserve">Copie la información de las hojas </t>
    </r>
    <r>
      <rPr>
        <i/>
        <sz val="14"/>
        <color theme="3" tint="-0.499984740745262"/>
        <rFont val="Calibri"/>
        <family val="2"/>
        <scheme val="minor"/>
      </rPr>
      <t>Captura español y Captura matemáticas</t>
    </r>
    <r>
      <rPr>
        <sz val="14"/>
        <color theme="3" tint="-0.499984740745262"/>
        <rFont val="Calibri"/>
        <family val="2"/>
        <scheme val="minor"/>
      </rPr>
      <t xml:space="preserve"> del </t>
    </r>
    <r>
      <rPr>
        <b/>
        <i/>
        <sz val="14"/>
        <color theme="3" tint="-0.499984740745262"/>
        <rFont val="Calibri"/>
        <family val="2"/>
        <scheme val="minor"/>
      </rPr>
      <t>Sistema de Captura y Calificación Digital por grupo 3° grado</t>
    </r>
    <r>
      <rPr>
        <sz val="14"/>
        <color theme="3" tint="-0.499984740745262"/>
        <rFont val="Calibri"/>
        <family val="2"/>
        <scheme val="minor"/>
      </rPr>
      <t xml:space="preserve">; péguelos en las hojas </t>
    </r>
    <r>
      <rPr>
        <i/>
        <sz val="14"/>
        <color theme="3" tint="-0.499984740745262"/>
        <rFont val="Calibri"/>
        <family val="2"/>
        <scheme val="minor"/>
      </rPr>
      <t>Español por escuela</t>
    </r>
    <r>
      <rPr>
        <sz val="14"/>
        <color theme="3" tint="-0.499984740745262"/>
        <rFont val="Calibri"/>
        <family val="2"/>
        <scheme val="minor"/>
      </rPr>
      <t xml:space="preserve"> y </t>
    </r>
    <r>
      <rPr>
        <i/>
        <sz val="14"/>
        <color theme="3" tint="-0.499984740745262"/>
        <rFont val="Calibri"/>
        <family val="2"/>
        <scheme val="minor"/>
      </rPr>
      <t xml:space="preserve">Matemáticas por escuela, de acuerdo a </t>
    </r>
    <r>
      <rPr>
        <sz val="14"/>
        <color theme="3" tint="-0.499984740745262"/>
        <rFont val="Calibri"/>
        <family val="2"/>
        <scheme val="minor"/>
      </rPr>
      <t xml:space="preserve">la asignatura que desee consultar.
</t>
    </r>
    <r>
      <rPr>
        <b/>
        <sz val="14"/>
        <color theme="3" tint="-0.499984740745262"/>
        <rFont val="Calibri"/>
        <family val="2"/>
        <scheme val="minor"/>
      </rPr>
      <t>Nota: Identifique el área de copiado y pegado por las celdas en color azul cielo.</t>
    </r>
    <r>
      <rPr>
        <sz val="14"/>
        <color theme="3" tint="-0.499984740745262"/>
        <rFont val="Calibri"/>
        <family val="2"/>
        <scheme val="minor"/>
      </rPr>
      <t xml:space="preserve">
</t>
    </r>
    <r>
      <rPr>
        <b/>
        <sz val="12"/>
        <color theme="3" tint="-0.499984740745262"/>
        <rFont val="Calibri"/>
        <family val="2"/>
        <scheme val="minor"/>
      </rPr>
      <t xml:space="preserve">
</t>
    </r>
  </si>
  <si>
    <r>
      <rPr>
        <b/>
        <sz val="48"/>
        <color theme="3" tint="-0.499984740745262"/>
        <rFont val="Calibri"/>
        <family val="2"/>
        <scheme val="minor"/>
      </rPr>
      <t>2</t>
    </r>
    <r>
      <rPr>
        <b/>
        <sz val="16"/>
        <color theme="3" tint="-0.499984740745262"/>
        <rFont val="Calibri"/>
        <family val="2"/>
        <scheme val="minor"/>
      </rPr>
      <t xml:space="preserve"> </t>
    </r>
    <r>
      <rPr>
        <b/>
        <sz val="22"/>
        <color theme="3" tint="-0.499984740745262"/>
        <rFont val="Calibri"/>
        <family val="2"/>
        <scheme val="minor"/>
      </rPr>
      <t>CALIFICAR</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CALIFICAR</t>
    </r>
    <r>
      <rPr>
        <sz val="14"/>
        <color theme="3" tint="-0.499984740745262"/>
        <rFont val="Calibri"/>
        <family val="2"/>
        <scheme val="minor"/>
      </rPr>
      <t xml:space="preserve"> (ubicado en la parte extrema derecha del formato), para obtener información diagnóstica de la escuela en ambas asignaturas:
</t>
    </r>
    <r>
      <rPr>
        <b/>
        <sz val="14"/>
        <color theme="3" tint="-0.499984740745262"/>
        <rFont val="Calibri"/>
        <family val="2"/>
        <scheme val="minor"/>
      </rPr>
      <t>Resultados por alumno.</t>
    </r>
    <r>
      <rPr>
        <sz val="14"/>
        <color theme="3" tint="-0.499984740745262"/>
        <rFont val="Calibri"/>
        <family val="2"/>
        <scheme val="minor"/>
      </rPr>
      <t xml:space="preserve"> Número y porcentaje de reactivos correctos.
</t>
    </r>
    <r>
      <rPr>
        <b/>
        <sz val="14"/>
        <color theme="3" tint="-0.499984740745262"/>
        <rFont val="Calibri"/>
        <family val="2"/>
        <scheme val="minor"/>
      </rPr>
      <t>Gráficos y valores por reactivo, unidad de análisis y contenidos.</t>
    </r>
    <r>
      <rPr>
        <sz val="14"/>
        <color theme="3" tint="-0.499984740745262"/>
        <rFont val="Calibri"/>
        <family val="2"/>
        <scheme val="minor"/>
      </rPr>
      <t xml:space="preserve"> Consulte las hojas: Resultados Español y Resultados Matemáticas.
</t>
    </r>
    <r>
      <rPr>
        <b/>
        <sz val="14"/>
        <color theme="3" tint="-0.499984740745262"/>
        <rFont val="Calibri"/>
        <family val="2"/>
        <scheme val="minor"/>
      </rPr>
      <t>Tablas con los contenidos evaluados.</t>
    </r>
    <r>
      <rPr>
        <sz val="14"/>
        <color theme="3" tint="-0.499984740745262"/>
        <rFont val="Calibri"/>
        <family val="2"/>
        <scheme val="minor"/>
      </rPr>
      <t xml:space="preserve"> Consulte las hojas: Especificaciones Español y Especificaciones Matemáticas.
</t>
    </r>
    <r>
      <rPr>
        <b/>
        <sz val="14"/>
        <color theme="3" tint="-0.499984740745262"/>
        <rFont val="Calibri"/>
        <family val="2"/>
        <scheme val="minor"/>
      </rPr>
      <t>Nota: La información puede filtrarse por grupo.</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</si>
</sst>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1" x14ac:knownFonts="1">
    <font>
      <sz val="11"/>
      <color theme="1"/>
      <name val="Calibri"/>
      <family val="2"/>
      <scheme val="minor"/>
    </font>
    <font>
      <sz val="10"/>
      <color theme="1"/>
      <name val="Calibri"/>
      <family val="2"/>
      <scheme val="minor"/>
    </font>
    <font>
      <b/>
      <sz val="10"/>
      <color theme="1"/>
      <name val="Calibri"/>
      <family val="2"/>
      <scheme val="minor"/>
    </font>
    <font>
      <b/>
      <sz val="12"/>
      <color theme="0"/>
      <name val="Calibri"/>
      <family val="2"/>
      <scheme val="minor"/>
    </font>
    <font>
      <b/>
      <sz val="14"/>
      <color theme="3" tint="-0.499984740745262"/>
      <name val="Calibri"/>
      <family val="2"/>
      <scheme val="minor"/>
    </font>
    <font>
      <b/>
      <sz val="16"/>
      <color theme="3" tint="-0.499984740745262"/>
      <name val="Calibri"/>
      <family val="2"/>
      <scheme val="minor"/>
    </font>
    <font>
      <b/>
      <sz val="12"/>
      <color theme="3" tint="-0.499984740745262"/>
      <name val="Calibri"/>
      <family val="2"/>
      <scheme val="minor"/>
    </font>
    <font>
      <b/>
      <sz val="16"/>
      <color theme="0"/>
      <name val="Calibri"/>
      <family val="2"/>
      <scheme val="minor"/>
    </font>
    <font>
      <b/>
      <sz val="40"/>
      <color theme="3" tint="-0.499984740745262"/>
      <name val="Calibri"/>
      <family val="2"/>
      <scheme val="minor"/>
    </font>
    <font>
      <sz val="11"/>
      <color theme="0"/>
      <name val="Calibri"/>
      <family val="2"/>
      <scheme val="minor"/>
    </font>
    <font>
      <b/>
      <sz val="48"/>
      <color theme="3" tint="-0.499984740745262"/>
      <name val="Calibri"/>
      <family val="2"/>
      <scheme val="minor"/>
    </font>
    <font>
      <b/>
      <sz val="36"/>
      <color theme="0"/>
      <name val="Calibri"/>
      <family val="2"/>
      <scheme val="minor"/>
    </font>
    <font>
      <sz val="36"/>
      <color theme="1"/>
      <name val="Calibri"/>
      <family val="2"/>
      <scheme val="minor"/>
    </font>
    <font>
      <b/>
      <sz val="28"/>
      <color theme="4" tint="-0.249977111117893"/>
      <name val="Calibri"/>
      <family val="2"/>
      <scheme val="minor"/>
    </font>
    <font>
      <b/>
      <sz val="16"/>
      <color theme="4" tint="-0.249977111117893"/>
      <name val="Calibri"/>
      <family val="2"/>
      <scheme val="minor"/>
    </font>
    <font>
      <b/>
      <sz val="22"/>
      <color theme="4" tint="-0.249977111117893"/>
      <name val="Calibri"/>
      <family val="2"/>
      <scheme val="minor"/>
    </font>
    <font>
      <sz val="16"/>
      <color theme="4" tint="-0.249977111117893"/>
      <name val="Calibri"/>
      <family val="2"/>
      <scheme val="minor"/>
    </font>
    <font>
      <b/>
      <sz val="40"/>
      <color theme="4" tint="-0.249977111117893"/>
      <name val="Calibri"/>
      <family val="2"/>
      <scheme val="minor"/>
    </font>
    <font>
      <sz val="14"/>
      <color theme="3" tint="-0.499984740745262"/>
      <name val="Calibri"/>
      <family val="2"/>
      <scheme val="minor"/>
    </font>
    <font>
      <b/>
      <sz val="20"/>
      <color theme="4" tint="-0.249977111117893"/>
      <name val="Calibri"/>
      <family val="2"/>
      <scheme val="minor"/>
    </font>
    <font>
      <sz val="20"/>
      <color theme="4" tint="-0.249977111117893"/>
      <name val="Calibri"/>
      <family val="2"/>
      <scheme val="minor"/>
    </font>
    <font>
      <sz val="22"/>
      <color theme="3" tint="-0.499984740745262"/>
      <name val="Calibri"/>
      <family val="2"/>
      <scheme val="minor"/>
    </font>
    <font>
      <b/>
      <u/>
      <sz val="24"/>
      <color theme="3" tint="-0.499984740745262"/>
      <name val="Calibri"/>
      <family val="2"/>
      <scheme val="minor"/>
    </font>
    <font>
      <b/>
      <sz val="24"/>
      <color theme="3" tint="-0.499984740745262"/>
      <name val="Calibri"/>
      <family val="2"/>
      <scheme val="minor"/>
    </font>
    <font>
      <b/>
      <sz val="22"/>
      <color theme="3" tint="-0.499984740745262"/>
      <name val="Calibri"/>
      <family val="2"/>
      <scheme val="minor"/>
    </font>
    <font>
      <i/>
      <sz val="14"/>
      <color theme="3" tint="-0.499984740745262"/>
      <name val="Calibri"/>
      <family val="2"/>
      <scheme val="minor"/>
    </font>
    <font>
      <b/>
      <sz val="8"/>
      <color theme="3" tint="-0.499984740745262"/>
      <name val="Calibri"/>
      <family val="2"/>
      <scheme val="minor"/>
    </font>
    <font>
      <b/>
      <sz val="8"/>
      <color theme="0"/>
      <name val="Calibri"/>
      <family val="2"/>
      <scheme val="minor"/>
    </font>
    <font>
      <sz val="10"/>
      <color theme="0"/>
      <name val="Calibri"/>
      <family val="2"/>
      <scheme val="minor"/>
    </font>
    <font>
      <b/>
      <sz val="10"/>
      <color theme="0"/>
      <name val="Calibri"/>
      <family val="2"/>
      <scheme val="minor"/>
    </font>
    <font>
      <sz val="8"/>
      <color theme="1"/>
      <name val="Calibri"/>
      <family val="2"/>
      <scheme val="minor"/>
    </font>
    <font>
      <sz val="18"/>
      <color theme="0"/>
      <name val="Calibri"/>
      <family val="2"/>
      <scheme val="minor"/>
    </font>
    <font>
      <b/>
      <sz val="11"/>
      <color theme="0"/>
      <name val="Calibri"/>
      <family val="2"/>
      <scheme val="minor"/>
    </font>
    <font>
      <sz val="14"/>
      <color theme="0"/>
      <name val="Calibri"/>
      <family val="2"/>
      <scheme val="minor"/>
    </font>
    <font>
      <b/>
      <sz val="14"/>
      <color theme="1"/>
      <name val="Calibri"/>
      <family val="2"/>
      <scheme val="minor"/>
    </font>
    <font>
      <sz val="8"/>
      <color theme="0"/>
      <name val="Calibri"/>
      <family val="2"/>
      <scheme val="minor"/>
    </font>
    <font>
      <b/>
      <sz val="9"/>
      <color theme="0"/>
      <name val="Arial Black"/>
      <family val="2"/>
    </font>
    <font>
      <sz val="8"/>
      <color theme="3" tint="-0.499984740745262"/>
      <name val="Calibri"/>
      <family val="2"/>
      <scheme val="minor"/>
    </font>
    <font>
      <u/>
      <sz val="11"/>
      <color theme="10"/>
      <name val="Calibri"/>
      <family val="2"/>
      <scheme val="minor"/>
    </font>
    <font>
      <b/>
      <sz val="11"/>
      <color theme="3" tint="-0.499984740745262"/>
      <name val="Calibri"/>
      <family val="2"/>
      <scheme val="minor"/>
    </font>
    <font>
      <b/>
      <sz val="10"/>
      <color theme="3" tint="-0.499984740745262"/>
      <name val="Calibri"/>
      <family val="2"/>
      <scheme val="minor"/>
    </font>
    <font>
      <b/>
      <sz val="36"/>
      <color theme="3" tint="-0.499984740745262"/>
      <name val="Calibri"/>
      <family val="2"/>
      <scheme val="minor"/>
    </font>
    <font>
      <sz val="12"/>
      <color theme="1"/>
      <name val="Arial"/>
      <family val="2"/>
    </font>
    <font>
      <b/>
      <sz val="12"/>
      <color theme="1"/>
      <name val="Arial"/>
      <family val="2"/>
    </font>
    <font>
      <b/>
      <sz val="20"/>
      <color theme="0"/>
      <name val="Calibri"/>
      <family val="2"/>
      <scheme val="minor"/>
    </font>
    <font>
      <b/>
      <sz val="14"/>
      <color theme="3" tint="-0.249977111117893"/>
      <name val="Calibri"/>
      <family val="2"/>
      <scheme val="minor"/>
    </font>
    <font>
      <b/>
      <i/>
      <sz val="14"/>
      <color theme="3" tint="-0.499984740745262"/>
      <name val="Calibri"/>
      <family val="2"/>
      <scheme val="minor"/>
    </font>
    <font>
      <sz val="12"/>
      <color theme="1"/>
      <name val="Calibri"/>
      <family val="2"/>
      <scheme val="minor"/>
    </font>
    <font>
      <b/>
      <sz val="28"/>
      <color theme="1" tint="0.34998626667073579"/>
      <name val="Calibri"/>
      <family val="2"/>
      <scheme val="minor"/>
    </font>
    <font>
      <b/>
      <sz val="36"/>
      <color theme="1" tint="0.34998626667073579"/>
      <name val="Calibri"/>
      <family val="2"/>
      <scheme val="minor"/>
    </font>
    <font>
      <b/>
      <sz val="40"/>
      <color theme="1" tint="0.34998626667073579"/>
      <name val="Calibri"/>
      <family val="2"/>
      <scheme val="minor"/>
    </font>
  </fonts>
  <fills count="11">
    <fill>
      <patternFill patternType="none"/>
    </fill>
    <fill>
      <patternFill patternType="gray125"/>
    </fill>
    <fill>
      <patternFill patternType="solid">
        <fgColor rgb="FF0070C0"/>
        <bgColor indexed="64"/>
      </patternFill>
    </fill>
    <fill>
      <patternFill patternType="solid">
        <fgColor theme="3" tint="-0.499984740745262"/>
        <bgColor indexed="64"/>
      </patternFill>
    </fill>
    <fill>
      <patternFill patternType="solid">
        <fgColor theme="3"/>
        <bgColor indexed="64"/>
      </patternFill>
    </fill>
    <fill>
      <patternFill patternType="solid">
        <fgColor theme="0"/>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bgColor indexed="64"/>
      </patternFill>
    </fill>
    <fill>
      <patternFill patternType="solid">
        <fgColor theme="8"/>
        <bgColor indexed="64"/>
      </patternFill>
    </fill>
    <fill>
      <patternFill patternType="solid">
        <fgColor theme="4" tint="0.79998168889431442"/>
        <bgColor indexed="64"/>
      </patternFill>
    </fill>
  </fills>
  <borders count="40">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bottom style="thin">
        <color theme="0"/>
      </bottom>
      <diagonal/>
    </border>
    <border>
      <left/>
      <right/>
      <top/>
      <bottom style="thick">
        <color theme="3" tint="-0.499984740745262"/>
      </bottom>
      <diagonal/>
    </border>
    <border>
      <left/>
      <right/>
      <top style="thick">
        <color theme="3" tint="-0.499984740745262"/>
      </top>
      <bottom style="thick">
        <color theme="3" tint="-0.499984740745262"/>
      </bottom>
      <diagonal/>
    </border>
    <border>
      <left style="medium">
        <color theme="3" tint="-0.499984740745262"/>
      </left>
      <right/>
      <top style="thin">
        <color theme="0"/>
      </top>
      <bottom style="thin">
        <color theme="0"/>
      </bottom>
      <diagonal/>
    </border>
    <border>
      <left style="medium">
        <color theme="3" tint="-0.499984740745262"/>
      </left>
      <right/>
      <top style="thin">
        <color theme="0"/>
      </top>
      <bottom style="medium">
        <color theme="3" tint="-0.499984740745262"/>
      </bottom>
      <diagonal/>
    </border>
    <border>
      <left style="thin">
        <color theme="3" tint="-0.499984740745262"/>
      </left>
      <right style="thin">
        <color theme="3" tint="-0.499984740745262"/>
      </right>
      <top style="thin">
        <color theme="3" tint="-0.499984740745262"/>
      </top>
      <bottom style="thin">
        <color theme="3" tint="-0.499984740745262"/>
      </bottom>
      <diagonal/>
    </border>
    <border>
      <left/>
      <right/>
      <top style="thick">
        <color theme="3" tint="-0.499984740745262"/>
      </top>
      <bottom/>
      <diagonal/>
    </border>
    <border>
      <left style="thin">
        <color theme="0"/>
      </left>
      <right style="thin">
        <color theme="0"/>
      </right>
      <top style="medium">
        <color theme="3" tint="-0.499984740745262"/>
      </top>
      <bottom style="thin">
        <color theme="0"/>
      </bottom>
      <diagonal/>
    </border>
    <border>
      <left style="thin">
        <color theme="0"/>
      </left>
      <right style="medium">
        <color theme="3" tint="-0.499984740745262"/>
      </right>
      <top style="thin">
        <color theme="0"/>
      </top>
      <bottom style="thin">
        <color theme="0"/>
      </bottom>
      <diagonal/>
    </border>
    <border>
      <left style="thin">
        <color theme="3" tint="-0.499984740745262"/>
      </left>
      <right style="thin">
        <color theme="3" tint="-0.499984740745262"/>
      </right>
      <top style="thin">
        <color theme="3" tint="-0.499984740745262"/>
      </top>
      <bottom style="medium">
        <color theme="3" tint="-0.499984740745262"/>
      </bottom>
      <diagonal/>
    </border>
    <border>
      <left style="thin">
        <color theme="0"/>
      </left>
      <right style="thin">
        <color theme="0"/>
      </right>
      <top style="medium">
        <color theme="3" tint="-0.499984740745262"/>
      </top>
      <bottom/>
      <diagonal/>
    </border>
    <border>
      <left style="thin">
        <color theme="0"/>
      </left>
      <right style="medium">
        <color theme="3" tint="-0.499984740745262"/>
      </right>
      <top style="medium">
        <color theme="3" tint="-0.499984740745262"/>
      </top>
      <bottom style="thin">
        <color theme="0"/>
      </bottom>
      <diagonal/>
    </border>
    <border>
      <left style="thin">
        <color theme="0"/>
      </left>
      <right style="medium">
        <color theme="3" tint="-0.499984740745262"/>
      </right>
      <top style="thin">
        <color theme="0"/>
      </top>
      <bottom style="medium">
        <color theme="3" tint="-0.499984740745262"/>
      </bottom>
      <diagonal/>
    </border>
    <border>
      <left style="thin">
        <color theme="0"/>
      </left>
      <right style="medium">
        <color theme="3" tint="-0.499984740745262"/>
      </right>
      <top style="medium">
        <color theme="3" tint="-0.499984740745262"/>
      </top>
      <bottom/>
      <diagonal/>
    </border>
    <border>
      <left style="thin">
        <color theme="3" tint="-0.499984740745262"/>
      </left>
      <right style="medium">
        <color theme="3" tint="-0.499984740745262"/>
      </right>
      <top style="thin">
        <color theme="3" tint="-0.499984740745262"/>
      </top>
      <bottom style="thin">
        <color theme="3" tint="-0.499984740745262"/>
      </bottom>
      <diagonal/>
    </border>
    <border>
      <left style="thin">
        <color theme="3" tint="-0.499984740745262"/>
      </left>
      <right style="medium">
        <color theme="3" tint="-0.499984740745262"/>
      </right>
      <top style="thin">
        <color theme="3" tint="-0.499984740745262"/>
      </top>
      <bottom style="medium">
        <color theme="3" tint="-0.499984740745262"/>
      </bottom>
      <diagonal/>
    </border>
    <border>
      <left/>
      <right/>
      <top style="thin">
        <color theme="0"/>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medium">
        <color theme="3" tint="-0.499984740745262"/>
      </left>
      <right style="thin">
        <color theme="0"/>
      </right>
      <top style="medium">
        <color theme="3" tint="-0.499984740745262"/>
      </top>
      <bottom style="thin">
        <color theme="0"/>
      </bottom>
      <diagonal/>
    </border>
    <border>
      <left style="medium">
        <color theme="3" tint="-0.499984740745262"/>
      </left>
      <right style="thin">
        <color theme="0"/>
      </right>
      <top style="thin">
        <color theme="0"/>
      </top>
      <bottom style="thin">
        <color theme="0"/>
      </bottom>
      <diagonal/>
    </border>
    <border>
      <left style="thin">
        <color theme="0"/>
      </left>
      <right style="thin">
        <color theme="0"/>
      </right>
      <top style="thin">
        <color theme="0"/>
      </top>
      <bottom style="medium">
        <color theme="3" tint="-0.499984740745262"/>
      </bottom>
      <diagonal/>
    </border>
    <border>
      <left/>
      <right style="thin">
        <color theme="0"/>
      </right>
      <top style="medium">
        <color theme="3" tint="-0.499984740745262"/>
      </top>
      <bottom style="thin">
        <color theme="0"/>
      </bottom>
      <diagonal/>
    </border>
    <border>
      <left style="thin">
        <color theme="0"/>
      </left>
      <right/>
      <top style="thin">
        <color theme="0"/>
      </top>
      <bottom style="medium">
        <color theme="3" tint="-0.499984740745262"/>
      </bottom>
      <diagonal/>
    </border>
    <border>
      <left/>
      <right style="thin">
        <color theme="0"/>
      </right>
      <top style="medium">
        <color theme="3" tint="-0.499984740745262"/>
      </top>
      <bottom/>
      <diagonal/>
    </border>
    <border>
      <left style="medium">
        <color theme="3" tint="-0.499984740745262"/>
      </left>
      <right style="thin">
        <color theme="0"/>
      </right>
      <top style="thin">
        <color theme="0"/>
      </top>
      <bottom style="medium">
        <color theme="3" tint="-0.499984740745262"/>
      </bottom>
      <diagonal/>
    </border>
    <border>
      <left/>
      <right/>
      <top/>
      <bottom style="medium">
        <color theme="3" tint="-0.499984740745262"/>
      </bottom>
      <diagonal/>
    </border>
    <border>
      <left style="thin">
        <color theme="0"/>
      </left>
      <right/>
      <top/>
      <bottom style="medium">
        <color theme="3" tint="-0.499984740745262"/>
      </bottom>
      <diagonal/>
    </border>
    <border>
      <left style="medium">
        <color theme="3" tint="-0.499984740745262"/>
      </left>
      <right/>
      <top/>
      <bottom style="thin">
        <color theme="0"/>
      </bottom>
      <diagonal/>
    </border>
    <border>
      <left style="thin">
        <color theme="3" tint="-0.499984740745262"/>
      </left>
      <right style="thin">
        <color theme="3" tint="-0.499984740745262"/>
      </right>
      <top/>
      <bottom style="thin">
        <color theme="3" tint="-0.499984740745262"/>
      </bottom>
      <diagonal/>
    </border>
    <border>
      <left/>
      <right style="thin">
        <color theme="0"/>
      </right>
      <top/>
      <bottom style="thin">
        <color theme="0"/>
      </bottom>
      <diagonal/>
    </border>
    <border>
      <left style="thin">
        <color theme="0"/>
      </left>
      <right style="medium">
        <color theme="3" tint="-0.499984740745262"/>
      </right>
      <top/>
      <bottom style="thin">
        <color theme="0"/>
      </bottom>
      <diagonal/>
    </border>
    <border>
      <left style="thin">
        <color theme="0"/>
      </left>
      <right style="thin">
        <color theme="0"/>
      </right>
      <top/>
      <bottom style="thin">
        <color theme="3" tint="-0.499984740745262"/>
      </bottom>
      <diagonal/>
    </border>
    <border>
      <left/>
      <right style="thin">
        <color theme="3" tint="-0.499984740745262"/>
      </right>
      <top style="thin">
        <color theme="0"/>
      </top>
      <bottom style="thin">
        <color theme="0"/>
      </bottom>
      <diagonal/>
    </border>
    <border>
      <left/>
      <right style="thin">
        <color theme="3" tint="-0.499984740745262"/>
      </right>
      <top style="thin">
        <color theme="0"/>
      </top>
      <bottom style="medium">
        <color theme="3" tint="-0.499984740745262"/>
      </bottom>
      <diagonal/>
    </border>
    <border>
      <left/>
      <right style="thin">
        <color theme="0"/>
      </right>
      <top style="thin">
        <color theme="0"/>
      </top>
      <bottom style="medium">
        <color theme="3" tint="-0.499984740745262"/>
      </bottom>
      <diagonal/>
    </border>
  </borders>
  <cellStyleXfs count="2">
    <xf numFmtId="0" fontId="0" fillId="0" borderId="0"/>
    <xf numFmtId="0" fontId="38" fillId="0" borderId="0" applyNumberFormat="0" applyFill="0" applyBorder="0" applyAlignment="0" applyProtection="0"/>
  </cellStyleXfs>
  <cellXfs count="164">
    <xf numFmtId="0" fontId="0" fillId="0" borderId="0" xfId="0"/>
    <xf numFmtId="0" fontId="1" fillId="0" borderId="0" xfId="0" applyFont="1" applyAlignment="1">
      <alignment vertical="center"/>
    </xf>
    <xf numFmtId="0" fontId="2" fillId="0" borderId="0" xfId="0" applyFont="1" applyAlignment="1">
      <alignment vertical="center"/>
    </xf>
    <xf numFmtId="0" fontId="1" fillId="0" borderId="0" xfId="0" applyFont="1" applyAlignment="1">
      <alignment horizontal="center" vertical="center"/>
    </xf>
    <xf numFmtId="0" fontId="1" fillId="0" borderId="0" xfId="0" applyFont="1" applyAlignment="1">
      <alignment horizontal="left" vertical="center"/>
    </xf>
    <xf numFmtId="0" fontId="12" fillId="0" borderId="0" xfId="0" applyFont="1"/>
    <xf numFmtId="0" fontId="29" fillId="3" borderId="14" xfId="0" applyFont="1" applyFill="1" applyBorder="1" applyAlignment="1">
      <alignment horizontal="center" vertical="center" wrapText="1"/>
    </xf>
    <xf numFmtId="0" fontId="29" fillId="3" borderId="17" xfId="0" applyFont="1" applyFill="1" applyBorder="1" applyAlignment="1">
      <alignment horizontal="center" vertical="center" wrapText="1"/>
    </xf>
    <xf numFmtId="0" fontId="9" fillId="3" borderId="7" xfId="0" applyFont="1" applyFill="1" applyBorder="1" applyAlignment="1">
      <alignment horizontal="center" vertical="center"/>
    </xf>
    <xf numFmtId="0" fontId="0" fillId="0" borderId="20" xfId="0" applyBorder="1" applyAlignment="1">
      <alignment vertical="center"/>
    </xf>
    <xf numFmtId="0" fontId="29" fillId="3" borderId="28" xfId="0" applyFont="1" applyFill="1" applyBorder="1" applyAlignment="1">
      <alignment horizontal="center" vertical="center" wrapText="1"/>
    </xf>
    <xf numFmtId="0" fontId="7" fillId="3" borderId="23" xfId="0" applyFont="1" applyFill="1" applyBorder="1" applyAlignment="1">
      <alignment vertical="center"/>
    </xf>
    <xf numFmtId="0" fontId="0" fillId="0" borderId="2" xfId="0" applyBorder="1" applyAlignment="1">
      <alignment vertical="center"/>
    </xf>
    <xf numFmtId="0" fontId="0" fillId="0" borderId="1" xfId="0" applyBorder="1" applyAlignment="1">
      <alignment vertical="center"/>
    </xf>
    <xf numFmtId="0" fontId="35" fillId="3" borderId="24" xfId="0" applyFont="1" applyFill="1" applyBorder="1" applyAlignment="1">
      <alignment vertical="center"/>
    </xf>
    <xf numFmtId="0" fontId="28" fillId="3" borderId="7" xfId="0" applyFont="1" applyFill="1" applyBorder="1" applyAlignment="1">
      <alignment vertical="center"/>
    </xf>
    <xf numFmtId="0" fontId="0" fillId="0" borderId="4" xfId="0" applyBorder="1" applyAlignment="1">
      <alignment vertical="center"/>
    </xf>
    <xf numFmtId="0" fontId="28" fillId="3" borderId="7" xfId="0" applyFont="1" applyFill="1" applyBorder="1" applyAlignment="1">
      <alignment horizontal="left" vertical="center"/>
    </xf>
    <xf numFmtId="164" fontId="40" fillId="0" borderId="20" xfId="0" applyNumberFormat="1" applyFont="1" applyBorder="1" applyAlignment="1">
      <alignment horizontal="center" vertical="center"/>
    </xf>
    <xf numFmtId="0" fontId="0" fillId="0" borderId="4" xfId="0" applyBorder="1"/>
    <xf numFmtId="0" fontId="0" fillId="0" borderId="4" xfId="0" applyBorder="1" applyAlignment="1">
      <alignment horizontal="center" vertical="center"/>
    </xf>
    <xf numFmtId="0" fontId="0" fillId="0" borderId="22" xfId="0" applyBorder="1" applyAlignment="1">
      <alignment vertical="center"/>
    </xf>
    <xf numFmtId="0" fontId="28" fillId="3" borderId="8" xfId="0" applyFont="1" applyFill="1" applyBorder="1" applyAlignment="1">
      <alignment horizontal="left" vertical="center"/>
    </xf>
    <xf numFmtId="0" fontId="0" fillId="0" borderId="1" xfId="0" applyBorder="1"/>
    <xf numFmtId="0" fontId="0" fillId="0" borderId="1" xfId="0" applyBorder="1" applyAlignment="1">
      <alignment horizontal="center" vertical="center"/>
    </xf>
    <xf numFmtId="0" fontId="0" fillId="0" borderId="21" xfId="0" applyBorder="1" applyAlignment="1">
      <alignment vertical="center"/>
    </xf>
    <xf numFmtId="0" fontId="0" fillId="0" borderId="3" xfId="0" applyBorder="1" applyAlignment="1">
      <alignment vertical="center"/>
    </xf>
    <xf numFmtId="0" fontId="35" fillId="3" borderId="29" xfId="0" applyFont="1" applyFill="1" applyBorder="1" applyAlignment="1">
      <alignment vertical="center"/>
    </xf>
    <xf numFmtId="0" fontId="42" fillId="0" borderId="0" xfId="0" applyFont="1" applyAlignment="1">
      <alignment vertical="center" wrapText="1"/>
    </xf>
    <xf numFmtId="0" fontId="43" fillId="0" borderId="0" xfId="0" applyFont="1" applyAlignment="1">
      <alignment horizontal="center" vertical="center" wrapText="1"/>
    </xf>
    <xf numFmtId="0" fontId="32" fillId="4" borderId="22" xfId="1" applyFont="1" applyFill="1" applyBorder="1" applyAlignment="1">
      <alignment horizontal="center" vertical="center" wrapText="1"/>
    </xf>
    <xf numFmtId="0" fontId="32" fillId="4" borderId="31" xfId="1" applyFont="1" applyFill="1" applyBorder="1" applyAlignment="1">
      <alignment horizontal="center" vertical="center" wrapText="1"/>
    </xf>
    <xf numFmtId="0" fontId="42" fillId="0" borderId="0" xfId="0" applyFont="1" applyAlignment="1">
      <alignment horizontal="center" vertical="center" wrapText="1"/>
    </xf>
    <xf numFmtId="0" fontId="42" fillId="0" borderId="0" xfId="0" applyFont="1" applyAlignment="1">
      <alignment horizontal="left" vertical="center" wrapText="1"/>
    </xf>
    <xf numFmtId="0" fontId="44" fillId="3" borderId="24" xfId="0" applyFont="1" applyFill="1" applyBorder="1" applyAlignment="1">
      <alignment horizontal="center" vertical="center" wrapText="1"/>
    </xf>
    <xf numFmtId="0" fontId="44" fillId="3" borderId="29"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3" fillId="3" borderId="1" xfId="0" applyFont="1" applyFill="1" applyBorder="1" applyAlignment="1">
      <alignment horizontal="center" vertical="center"/>
    </xf>
    <xf numFmtId="164" fontId="33" fillId="3" borderId="1" xfId="0" applyNumberFormat="1" applyFont="1" applyFill="1" applyBorder="1" applyAlignment="1">
      <alignment horizontal="center" vertical="center"/>
    </xf>
    <xf numFmtId="164" fontId="33" fillId="3" borderId="12" xfId="0" applyNumberFormat="1" applyFont="1" applyFill="1" applyBorder="1" applyAlignment="1">
      <alignment horizontal="center" vertical="center"/>
    </xf>
    <xf numFmtId="0" fontId="33" fillId="3" borderId="2" xfId="0" applyFont="1" applyFill="1" applyBorder="1" applyAlignment="1">
      <alignment horizontal="center" vertical="center"/>
    </xf>
    <xf numFmtId="0" fontId="9" fillId="3" borderId="32" xfId="0" applyFont="1" applyFill="1" applyBorder="1" applyAlignment="1">
      <alignment horizontal="center" vertical="center"/>
    </xf>
    <xf numFmtId="0" fontId="33" fillId="3" borderId="34" xfId="0" applyFont="1" applyFill="1" applyBorder="1" applyAlignment="1">
      <alignment horizontal="center" vertical="center"/>
    </xf>
    <xf numFmtId="0" fontId="33" fillId="3" borderId="4" xfId="0" applyFont="1" applyFill="1" applyBorder="1" applyAlignment="1">
      <alignment horizontal="center" vertical="center"/>
    </xf>
    <xf numFmtId="164" fontId="33" fillId="3" borderId="4" xfId="0" applyNumberFormat="1" applyFont="1" applyFill="1" applyBorder="1" applyAlignment="1">
      <alignment horizontal="center" vertical="center"/>
    </xf>
    <xf numFmtId="164" fontId="33" fillId="3" borderId="35" xfId="0" applyNumberFormat="1" applyFont="1" applyFill="1" applyBorder="1" applyAlignment="1">
      <alignment horizontal="center" vertical="center"/>
    </xf>
    <xf numFmtId="0" fontId="45" fillId="10" borderId="33" xfId="0" applyFont="1" applyFill="1" applyBorder="1" applyAlignment="1">
      <alignment horizontal="left" vertical="center"/>
    </xf>
    <xf numFmtId="0" fontId="45" fillId="10" borderId="33" xfId="0" applyFont="1" applyFill="1" applyBorder="1" applyAlignment="1">
      <alignment horizontal="center" vertical="center"/>
    </xf>
    <xf numFmtId="0" fontId="45" fillId="10" borderId="9" xfId="0" applyFont="1" applyFill="1" applyBorder="1" applyAlignment="1">
      <alignment horizontal="left" vertical="center"/>
    </xf>
    <xf numFmtId="0" fontId="45" fillId="10" borderId="9" xfId="0" applyFont="1" applyFill="1" applyBorder="1" applyAlignment="1">
      <alignment horizontal="center" vertical="center"/>
    </xf>
    <xf numFmtId="0" fontId="7" fillId="3" borderId="17" xfId="0" applyFont="1" applyFill="1" applyBorder="1" applyAlignment="1">
      <alignment horizontal="left" vertical="center" wrapText="1"/>
    </xf>
    <xf numFmtId="0" fontId="27" fillId="4" borderId="1" xfId="0" applyFont="1" applyFill="1" applyBorder="1" applyAlignment="1">
      <alignment horizontal="center" vertical="center"/>
    </xf>
    <xf numFmtId="0" fontId="26" fillId="10" borderId="1" xfId="0" applyFont="1" applyFill="1" applyBorder="1" applyAlignment="1">
      <alignment horizontal="center" vertical="center"/>
    </xf>
    <xf numFmtId="0" fontId="27" fillId="3" borderId="1" xfId="0" applyFont="1" applyFill="1" applyBorder="1" applyAlignment="1">
      <alignment horizontal="center" vertical="center"/>
    </xf>
    <xf numFmtId="0" fontId="27" fillId="9" borderId="1" xfId="0" applyFont="1" applyFill="1" applyBorder="1" applyAlignment="1">
      <alignment horizontal="center" vertical="center"/>
    </xf>
    <xf numFmtId="0" fontId="26" fillId="7" borderId="1" xfId="0" applyFont="1" applyFill="1" applyBorder="1" applyAlignment="1">
      <alignment horizontal="center" vertical="center"/>
    </xf>
    <xf numFmtId="0" fontId="27" fillId="8" borderId="1" xfId="0" applyFont="1" applyFill="1" applyBorder="1" applyAlignment="1">
      <alignment horizontal="center" vertical="center"/>
    </xf>
    <xf numFmtId="0" fontId="26" fillId="10" borderId="12" xfId="0" applyFont="1" applyFill="1" applyBorder="1" applyAlignment="1">
      <alignment horizontal="center" vertical="center"/>
    </xf>
    <xf numFmtId="0" fontId="9" fillId="3" borderId="23" xfId="0" applyFont="1" applyFill="1" applyBorder="1" applyAlignment="1">
      <alignment horizontal="center" vertical="center" wrapText="1"/>
    </xf>
    <xf numFmtId="0" fontId="9" fillId="3" borderId="11" xfId="0" applyFont="1" applyFill="1" applyBorder="1" applyAlignment="1">
      <alignment horizontal="center" vertical="center" wrapText="1"/>
    </xf>
    <xf numFmtId="0" fontId="9" fillId="3" borderId="14" xfId="0" applyFont="1" applyFill="1" applyBorder="1" applyAlignment="1">
      <alignment horizontal="center" vertical="center" wrapText="1"/>
    </xf>
    <xf numFmtId="0" fontId="9" fillId="3" borderId="14" xfId="0" applyFont="1" applyFill="1" applyBorder="1" applyAlignment="1">
      <alignment vertical="center" wrapText="1"/>
    </xf>
    <xf numFmtId="0" fontId="9" fillId="3" borderId="17" xfId="0" applyFont="1" applyFill="1" applyBorder="1" applyAlignment="1">
      <alignment vertical="center" wrapText="1"/>
    </xf>
    <xf numFmtId="0" fontId="0" fillId="0" borderId="9" xfId="0" applyBorder="1" applyAlignment="1">
      <alignment horizontal="center" vertical="center" wrapText="1"/>
    </xf>
    <xf numFmtId="0" fontId="0" fillId="0" borderId="9" xfId="0" applyBorder="1" applyAlignment="1">
      <alignment vertical="center" wrapText="1"/>
    </xf>
    <xf numFmtId="0" fontId="0" fillId="0" borderId="18" xfId="0" applyFont="1" applyBorder="1" applyAlignment="1">
      <alignment vertical="center" wrapText="1"/>
    </xf>
    <xf numFmtId="0" fontId="0" fillId="0" borderId="13" xfId="0" applyBorder="1" applyAlignment="1">
      <alignment horizontal="center" vertical="center" wrapText="1"/>
    </xf>
    <xf numFmtId="0" fontId="0" fillId="0" borderId="13" xfId="0" applyBorder="1" applyAlignment="1">
      <alignment vertical="center" wrapText="1"/>
    </xf>
    <xf numFmtId="0" fontId="0" fillId="0" borderId="19" xfId="0" applyFont="1" applyBorder="1" applyAlignment="1">
      <alignment vertical="center" wrapText="1"/>
    </xf>
    <xf numFmtId="0" fontId="0" fillId="0" borderId="0" xfId="0" applyBorder="1" applyAlignment="1">
      <alignment horizontal="center" vertical="center" wrapText="1"/>
    </xf>
    <xf numFmtId="0" fontId="0" fillId="0" borderId="0" xfId="0" applyBorder="1" applyAlignment="1">
      <alignment vertical="center" wrapText="1"/>
    </xf>
    <xf numFmtId="0" fontId="27" fillId="4" borderId="12"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7" xfId="0" applyFont="1" applyFill="1" applyBorder="1" applyAlignment="1">
      <alignment horizontal="left" vertical="center" wrapText="1"/>
    </xf>
    <xf numFmtId="0" fontId="32" fillId="4" borderId="21" xfId="1" applyFont="1" applyFill="1" applyBorder="1" applyAlignment="1">
      <alignment horizontal="center" vertical="center" wrapText="1"/>
    </xf>
    <xf numFmtId="0" fontId="0" fillId="0" borderId="9" xfId="0" applyBorder="1" applyAlignment="1">
      <alignment horizontal="left" vertical="center" wrapText="1"/>
    </xf>
    <xf numFmtId="0" fontId="32" fillId="4" borderId="27" xfId="1" applyFont="1" applyFill="1" applyBorder="1" applyAlignment="1">
      <alignment horizontal="center" vertical="center" wrapText="1"/>
    </xf>
    <xf numFmtId="0" fontId="0" fillId="0" borderId="13" xfId="0" applyBorder="1" applyAlignment="1">
      <alignment horizontal="left" vertical="center" wrapText="1"/>
    </xf>
    <xf numFmtId="0" fontId="0" fillId="0" borderId="0" xfId="0" applyBorder="1" applyAlignment="1">
      <alignment horizontal="left" vertical="center" wrapText="1"/>
    </xf>
    <xf numFmtId="0" fontId="3" fillId="3" borderId="12" xfId="0" applyFont="1" applyFill="1" applyBorder="1" applyAlignment="1">
      <alignment horizontal="center" vertical="center" wrapText="1"/>
    </xf>
    <xf numFmtId="0" fontId="9" fillId="3" borderId="8" xfId="0" applyFont="1" applyFill="1" applyBorder="1" applyAlignment="1">
      <alignment horizontal="center" vertical="center"/>
    </xf>
    <xf numFmtId="0" fontId="33" fillId="3" borderId="39" xfId="0" applyFont="1" applyFill="1" applyBorder="1" applyAlignment="1">
      <alignment horizontal="center" vertical="center"/>
    </xf>
    <xf numFmtId="0" fontId="33" fillId="3" borderId="25" xfId="0" applyFont="1" applyFill="1" applyBorder="1" applyAlignment="1">
      <alignment horizontal="center" vertical="center"/>
    </xf>
    <xf numFmtId="164" fontId="33" fillId="3" borderId="25" xfId="0" applyNumberFormat="1" applyFont="1" applyFill="1" applyBorder="1" applyAlignment="1">
      <alignment horizontal="center" vertical="center"/>
    </xf>
    <xf numFmtId="164" fontId="33" fillId="3" borderId="16" xfId="0" applyNumberFormat="1" applyFont="1" applyFill="1" applyBorder="1" applyAlignment="1">
      <alignment horizontal="center" vertical="center"/>
    </xf>
    <xf numFmtId="0" fontId="45" fillId="10" borderId="13" xfId="0" applyFont="1" applyFill="1" applyBorder="1" applyAlignment="1">
      <alignment horizontal="left" vertical="center"/>
    </xf>
    <xf numFmtId="0" fontId="45" fillId="10" borderId="13" xfId="0" applyFont="1" applyFill="1" applyBorder="1" applyAlignment="1">
      <alignment horizontal="center" vertical="center"/>
    </xf>
    <xf numFmtId="0" fontId="34" fillId="10" borderId="33" xfId="0" applyFont="1" applyFill="1" applyBorder="1" applyAlignment="1">
      <alignment horizontal="center" vertical="center"/>
    </xf>
    <xf numFmtId="0" fontId="34" fillId="10" borderId="9" xfId="0" applyFont="1" applyFill="1" applyBorder="1" applyAlignment="1">
      <alignment horizontal="center" vertical="center"/>
    </xf>
    <xf numFmtId="3" fontId="37" fillId="5" borderId="9" xfId="0" applyNumberFormat="1" applyFont="1" applyFill="1" applyBorder="1" applyAlignment="1" applyProtection="1">
      <alignment horizontal="center" vertical="center"/>
      <protection hidden="1"/>
    </xf>
    <xf numFmtId="3" fontId="37" fillId="5" borderId="18" xfId="0" applyNumberFormat="1" applyFont="1" applyFill="1" applyBorder="1" applyAlignment="1" applyProtection="1">
      <alignment horizontal="center" vertical="center"/>
      <protection hidden="1"/>
    </xf>
    <xf numFmtId="164" fontId="39" fillId="0" borderId="9" xfId="1" applyNumberFormat="1" applyFont="1" applyBorder="1" applyAlignment="1" applyProtection="1">
      <alignment horizontal="center" vertical="center"/>
      <protection hidden="1"/>
    </xf>
    <xf numFmtId="164" fontId="39" fillId="0" borderId="18" xfId="1" applyNumberFormat="1" applyFont="1" applyBorder="1" applyAlignment="1" applyProtection="1">
      <alignment horizontal="center" vertical="center"/>
      <protection hidden="1"/>
    </xf>
    <xf numFmtId="164" fontId="30" fillId="0" borderId="9" xfId="0" applyNumberFormat="1" applyFont="1" applyBorder="1" applyAlignment="1" applyProtection="1">
      <alignment horizontal="center" vertical="center"/>
      <protection hidden="1"/>
    </xf>
    <xf numFmtId="164" fontId="30" fillId="0" borderId="18" xfId="0" applyNumberFormat="1" applyFont="1" applyBorder="1" applyAlignment="1" applyProtection="1">
      <alignment horizontal="center" vertical="center"/>
      <protection hidden="1"/>
    </xf>
    <xf numFmtId="164" fontId="37" fillId="5" borderId="13" xfId="0" applyNumberFormat="1" applyFont="1" applyFill="1" applyBorder="1" applyAlignment="1" applyProtection="1">
      <alignment horizontal="center" vertical="center"/>
      <protection hidden="1"/>
    </xf>
    <xf numFmtId="164" fontId="37" fillId="5" borderId="19" xfId="0" applyNumberFormat="1" applyFont="1" applyFill="1" applyBorder="1" applyAlignment="1" applyProtection="1">
      <alignment horizontal="center" vertical="center"/>
      <protection hidden="1"/>
    </xf>
    <xf numFmtId="164" fontId="34" fillId="0" borderId="9" xfId="0" applyNumberFormat="1" applyFont="1" applyBorder="1" applyAlignment="1" applyProtection="1">
      <alignment horizontal="center" vertical="center"/>
      <protection hidden="1"/>
    </xf>
    <xf numFmtId="164" fontId="47" fillId="0" borderId="9" xfId="0" applyNumberFormat="1" applyFont="1" applyBorder="1" applyAlignment="1" applyProtection="1">
      <alignment horizontal="center" vertical="center"/>
      <protection hidden="1"/>
    </xf>
    <xf numFmtId="164" fontId="0" fillId="0" borderId="18" xfId="0" applyNumberFormat="1" applyFont="1" applyBorder="1" applyAlignment="1" applyProtection="1">
      <alignment horizontal="center" vertical="center"/>
      <protection hidden="1"/>
    </xf>
    <xf numFmtId="164" fontId="0" fillId="0" borderId="9" xfId="0" applyNumberFormat="1" applyFont="1" applyBorder="1" applyAlignment="1" applyProtection="1">
      <alignment horizontal="center" vertical="center"/>
      <protection hidden="1"/>
    </xf>
    <xf numFmtId="164" fontId="34" fillId="0" borderId="13" xfId="0" applyNumberFormat="1" applyFont="1" applyBorder="1" applyAlignment="1" applyProtection="1">
      <alignment horizontal="center" vertical="center"/>
      <protection hidden="1"/>
    </xf>
    <xf numFmtId="164" fontId="0" fillId="0" borderId="13" xfId="0" applyNumberFormat="1" applyFont="1" applyBorder="1" applyAlignment="1" applyProtection="1">
      <alignment horizontal="center" vertical="center"/>
      <protection hidden="1"/>
    </xf>
    <xf numFmtId="164" fontId="0" fillId="0" borderId="19" xfId="0" applyNumberFormat="1" applyFont="1" applyBorder="1" applyAlignment="1" applyProtection="1">
      <alignment horizontal="center" vertical="center"/>
      <protection hidden="1"/>
    </xf>
    <xf numFmtId="164" fontId="32" fillId="4" borderId="1" xfId="0" applyNumberFormat="1" applyFont="1" applyFill="1" applyBorder="1" applyAlignment="1" applyProtection="1">
      <alignment horizontal="center" vertical="center"/>
      <protection hidden="1"/>
    </xf>
    <xf numFmtId="0" fontId="36" fillId="4" borderId="12" xfId="0" applyFont="1" applyFill="1" applyBorder="1" applyAlignment="1" applyProtection="1">
      <alignment vertical="center"/>
      <protection hidden="1"/>
    </xf>
    <xf numFmtId="164" fontId="32" fillId="4" borderId="25" xfId="0" applyNumberFormat="1" applyFont="1" applyFill="1" applyBorder="1" applyAlignment="1" applyProtection="1">
      <alignment horizontal="center" vertical="center"/>
      <protection hidden="1"/>
    </xf>
    <xf numFmtId="0" fontId="36" fillId="4" borderId="16" xfId="0" applyFont="1" applyFill="1" applyBorder="1" applyAlignment="1" applyProtection="1">
      <alignment vertical="center"/>
      <protection hidden="1"/>
    </xf>
    <xf numFmtId="0" fontId="5" fillId="0" borderId="6" xfId="0" applyFont="1" applyBorder="1" applyAlignment="1">
      <alignment horizontal="left" vertical="center" wrapText="1"/>
    </xf>
    <xf numFmtId="0" fontId="8" fillId="2" borderId="0" xfId="0" applyFont="1" applyFill="1" applyAlignment="1">
      <alignment horizontal="center" vertical="center" wrapText="1"/>
    </xf>
    <xf numFmtId="0" fontId="8" fillId="6" borderId="0" xfId="0" applyFont="1" applyFill="1" applyAlignment="1">
      <alignment horizontal="center" vertical="center" wrapText="1"/>
    </xf>
    <xf numFmtId="0" fontId="5" fillId="0" borderId="10" xfId="0" applyFont="1" applyBorder="1" applyAlignment="1">
      <alignment horizontal="left" vertical="center" wrapText="1"/>
    </xf>
    <xf numFmtId="0" fontId="48" fillId="0" borderId="0" xfId="0" applyFont="1" applyAlignment="1">
      <alignment horizontal="right" vertical="center" wrapText="1"/>
    </xf>
    <xf numFmtId="0" fontId="50" fillId="0" borderId="0" xfId="0" applyFont="1" applyAlignment="1">
      <alignment horizontal="right" vertical="center" wrapText="1"/>
    </xf>
    <xf numFmtId="0" fontId="5" fillId="0" borderId="5" xfId="0" applyFont="1" applyBorder="1" applyAlignment="1">
      <alignment horizontal="left" vertical="center" wrapText="1"/>
    </xf>
    <xf numFmtId="0" fontId="11" fillId="3" borderId="0" xfId="0" applyFont="1" applyFill="1" applyAlignment="1">
      <alignment horizontal="center" vertical="center"/>
    </xf>
    <xf numFmtId="0" fontId="13" fillId="0" borderId="0" xfId="0" applyFont="1" applyAlignment="1">
      <alignment horizontal="right" vertical="center" wrapText="1"/>
    </xf>
    <xf numFmtId="0" fontId="14" fillId="0" borderId="0" xfId="0" applyFont="1" applyAlignment="1">
      <alignment horizontal="left" vertical="center" wrapText="1"/>
    </xf>
    <xf numFmtId="0" fontId="20" fillId="0" borderId="0" xfId="0" applyFont="1" applyAlignment="1">
      <alignment horizontal="left" vertical="center" wrapText="1"/>
    </xf>
    <xf numFmtId="0" fontId="17" fillId="0" borderId="0" xfId="0" applyFont="1" applyAlignment="1">
      <alignment horizontal="left" vertical="center" wrapText="1"/>
    </xf>
    <xf numFmtId="0" fontId="31" fillId="3" borderId="11" xfId="0" applyFont="1" applyFill="1" applyBorder="1" applyAlignment="1">
      <alignment horizontal="center" vertical="center"/>
    </xf>
    <xf numFmtId="0" fontId="31" fillId="3" borderId="15" xfId="0" applyFont="1" applyFill="1" applyBorder="1" applyAlignment="1">
      <alignment horizontal="center" vertical="center"/>
    </xf>
    <xf numFmtId="0" fontId="28" fillId="3" borderId="23" xfId="0" applyFont="1" applyFill="1" applyBorder="1" applyAlignment="1">
      <alignment horizontal="center" vertical="center" wrapText="1"/>
    </xf>
    <xf numFmtId="0" fontId="28" fillId="3" borderId="24" xfId="0" applyFont="1" applyFill="1" applyBorder="1" applyAlignment="1">
      <alignment horizontal="center" vertical="center" wrapText="1"/>
    </xf>
    <xf numFmtId="0" fontId="28" fillId="3" borderId="11" xfId="0" applyFont="1" applyFill="1" applyBorder="1" applyAlignment="1">
      <alignment horizontal="left" vertical="center" wrapText="1"/>
    </xf>
    <xf numFmtId="0" fontId="28" fillId="3" borderId="1" xfId="0" applyFont="1" applyFill="1" applyBorder="1" applyAlignment="1">
      <alignment horizontal="left" vertical="center" wrapText="1"/>
    </xf>
    <xf numFmtId="0" fontId="28" fillId="3" borderId="11"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3" fillId="4" borderId="14" xfId="0" applyFont="1" applyFill="1" applyBorder="1" applyAlignment="1">
      <alignment horizontal="center" vertical="center"/>
    </xf>
    <xf numFmtId="0" fontId="3" fillId="4" borderId="4" xfId="0" applyFont="1" applyFill="1" applyBorder="1" applyAlignment="1">
      <alignment horizontal="center" vertical="center"/>
    </xf>
    <xf numFmtId="0" fontId="6" fillId="10" borderId="14" xfId="0" applyFont="1" applyFill="1" applyBorder="1" applyAlignment="1">
      <alignment horizontal="center" vertical="center"/>
    </xf>
    <xf numFmtId="0" fontId="6" fillId="10" borderId="4"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4" xfId="0" applyFont="1" applyFill="1" applyBorder="1" applyAlignment="1">
      <alignment horizontal="center" vertical="center"/>
    </xf>
    <xf numFmtId="0" fontId="3" fillId="9" borderId="14" xfId="0" applyFont="1" applyFill="1" applyBorder="1" applyAlignment="1">
      <alignment horizontal="center" vertical="center"/>
    </xf>
    <xf numFmtId="0" fontId="3" fillId="9" borderId="4" xfId="0" applyFont="1" applyFill="1" applyBorder="1" applyAlignment="1">
      <alignment horizontal="center" vertical="center"/>
    </xf>
    <xf numFmtId="0" fontId="6" fillId="7" borderId="14" xfId="0" applyFont="1" applyFill="1" applyBorder="1" applyAlignment="1">
      <alignment horizontal="center" vertical="center"/>
    </xf>
    <xf numFmtId="0" fontId="6" fillId="7" borderId="4" xfId="0" applyFont="1" applyFill="1" applyBorder="1" applyAlignment="1">
      <alignment horizontal="center" vertical="center"/>
    </xf>
    <xf numFmtId="0" fontId="6" fillId="10" borderId="36"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4" xfId="0" applyFont="1" applyFill="1" applyBorder="1" applyAlignment="1">
      <alignment horizontal="center" vertical="center"/>
    </xf>
    <xf numFmtId="0" fontId="39" fillId="10" borderId="7" xfId="0" applyFont="1" applyFill="1" applyBorder="1" applyAlignment="1">
      <alignment horizontal="left" vertical="center" wrapText="1"/>
    </xf>
    <xf numFmtId="0" fontId="39" fillId="10" borderId="37" xfId="0" applyFont="1" applyFill="1" applyBorder="1" applyAlignment="1">
      <alignment horizontal="left" vertical="center" wrapText="1"/>
    </xf>
    <xf numFmtId="0" fontId="32" fillId="8" borderId="7" xfId="0" applyFont="1" applyFill="1" applyBorder="1" applyAlignment="1">
      <alignment horizontal="left" vertical="center" wrapText="1"/>
    </xf>
    <xf numFmtId="0" fontId="32" fillId="8" borderId="37" xfId="0" applyFont="1" applyFill="1" applyBorder="1" applyAlignment="1">
      <alignment horizontal="left" vertical="center" wrapText="1"/>
    </xf>
    <xf numFmtId="0" fontId="39" fillId="7" borderId="8" xfId="0" applyFont="1" applyFill="1" applyBorder="1" applyAlignment="1">
      <alignment horizontal="left" vertical="center" wrapText="1"/>
    </xf>
    <xf numFmtId="0" fontId="39" fillId="7" borderId="38" xfId="0" applyFont="1" applyFill="1" applyBorder="1" applyAlignment="1">
      <alignment horizontal="left" vertical="center" wrapText="1"/>
    </xf>
    <xf numFmtId="0" fontId="7" fillId="3" borderId="23" xfId="0" applyFont="1" applyFill="1" applyBorder="1" applyAlignment="1">
      <alignment horizontal="left" vertical="center" wrapText="1"/>
    </xf>
    <xf numFmtId="0" fontId="7" fillId="3" borderId="24" xfId="0" applyFont="1" applyFill="1" applyBorder="1" applyAlignment="1">
      <alignment horizontal="left" vertical="center" wrapText="1"/>
    </xf>
    <xf numFmtId="0" fontId="7" fillId="3" borderId="26" xfId="0" applyFont="1" applyFill="1" applyBorder="1" applyAlignment="1">
      <alignment horizontal="center" vertical="center" wrapText="1"/>
    </xf>
    <xf numFmtId="0" fontId="7" fillId="3" borderId="11"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23" xfId="0" applyFont="1" applyFill="1" applyBorder="1" applyAlignment="1">
      <alignment vertical="center" wrapText="1"/>
    </xf>
    <xf numFmtId="0" fontId="7" fillId="3" borderId="11" xfId="0" applyFont="1" applyFill="1" applyBorder="1" applyAlignment="1">
      <alignment vertical="center"/>
    </xf>
    <xf numFmtId="0" fontId="32" fillId="3" borderId="7" xfId="0" applyFont="1" applyFill="1" applyBorder="1" applyAlignment="1">
      <alignment horizontal="left" vertical="center" wrapText="1"/>
    </xf>
    <xf numFmtId="0" fontId="32" fillId="3" borderId="37" xfId="0" applyFont="1" applyFill="1" applyBorder="1" applyAlignment="1">
      <alignment horizontal="left" vertical="center" wrapText="1"/>
    </xf>
    <xf numFmtId="0" fontId="32" fillId="4" borderId="7" xfId="0" applyFont="1" applyFill="1" applyBorder="1" applyAlignment="1">
      <alignment horizontal="left" vertical="center" wrapText="1"/>
    </xf>
    <xf numFmtId="0" fontId="32" fillId="4" borderId="37" xfId="0" applyFont="1" applyFill="1" applyBorder="1" applyAlignment="1">
      <alignment horizontal="left" vertical="center" wrapText="1"/>
    </xf>
    <xf numFmtId="0" fontId="32" fillId="9" borderId="7" xfId="0" applyFont="1" applyFill="1" applyBorder="1" applyAlignment="1">
      <alignment horizontal="left" vertical="center" wrapText="1"/>
    </xf>
    <xf numFmtId="0" fontId="32" fillId="9" borderId="37" xfId="0" applyFont="1" applyFill="1" applyBorder="1" applyAlignment="1">
      <alignment horizontal="left" vertical="center" wrapText="1"/>
    </xf>
    <xf numFmtId="0" fontId="41" fillId="0" borderId="30" xfId="0" applyFont="1" applyBorder="1" applyAlignment="1">
      <alignment horizontal="center" vertical="center" wrapText="1"/>
    </xf>
    <xf numFmtId="0" fontId="3" fillId="4" borderId="36" xfId="0" applyFont="1" applyFill="1" applyBorder="1" applyAlignment="1">
      <alignment horizontal="center" vertical="center"/>
    </xf>
    <xf numFmtId="0" fontId="32" fillId="8" borderId="8" xfId="0" applyFont="1" applyFill="1" applyBorder="1" applyAlignment="1">
      <alignment horizontal="left" vertical="center" wrapText="1"/>
    </xf>
    <xf numFmtId="0" fontId="32" fillId="8" borderId="38" xfId="0" applyFont="1" applyFill="1" applyBorder="1" applyAlignment="1">
      <alignment horizontal="left" vertical="center" wrapText="1"/>
    </xf>
  </cellXfs>
  <cellStyles count="2">
    <cellStyle name="Hipervínculo" xfId="1" builtinId="8"/>
    <cellStyle name="Normal" xfId="0" builtinId="0"/>
  </cellStyles>
  <dxfs count="20">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fgColor theme="0"/>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b/>
        <i val="0"/>
        <sz val="18"/>
        <name val="Arial"/>
        <scheme val="none"/>
      </font>
    </dxf>
    <dxf>
      <font>
        <b/>
        <i val="0"/>
        <sz val="14"/>
      </font>
    </dxf>
  </dxfs>
  <tableStyles count="2" defaultTableStyle="TableStyleMedium2" defaultPivotStyle="PivotStyleLight16">
    <tableStyle name="Estilo de segmentación de datos 1" pivot="0" table="0" count="1">
      <tableStyleElement type="headerRow" dxfId="19"/>
    </tableStyle>
    <tableStyle name="Estilo de segmentación de datos 2" pivot="0" table="0" count="1">
      <tableStyleElement type="headerRow" dxfId="18"/>
    </tableStyle>
  </tableStyles>
  <extLst>
    <ext xmlns:x14="http://schemas.microsoft.com/office/spreadsheetml/2009/9/main" uri="{EB79DEF2-80B8-43e5-95BD-54CBDDF9020C}">
      <x14:slicerStyles defaultSlicerStyle="SlicerStyleLight1">
        <x14:slicerStyle name="Estilo de segmentación de datos 1"/>
        <x14:slicerStyle name="Estilo de segmentación de datos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ESPAÑOL</a:t>
            </a:r>
            <a:endParaRPr lang="es-MX" sz="1600">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400">
              <a:effectLst/>
            </a:endParaRPr>
          </a:p>
        </c:rich>
      </c:tx>
      <c:layout>
        <c:manualLayout>
          <c:xMode val="edge"/>
          <c:yMode val="edge"/>
          <c:x val="6.2769953051643187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Español'!$A$6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Español'!$B$6:$AE$6</c:f>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1"/>
          <c:order val="1"/>
          <c:tx>
            <c:strRef>
              <c:f>'Resultados Español'!$A$7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Español'!$B$7:$AE$7</c:f>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strRef>
              <c:f>'Resultados Español'!#REF!</c:f>
              <c:strCache>
                <c:ptCount val="1"/>
                <c:pt idx="0">
                  <c:v>#REF!</c:v>
                </c:pt>
              </c:strCache>
            </c:strRef>
          </c:tx>
          <c:spPr>
            <a:solidFill>
              <a:schemeClr val="lt1"/>
            </a:solidFill>
            <a:ln w="3175" cap="flat" cmpd="sng" algn="ctr">
              <a:solidFill>
                <a:schemeClr val="tx2">
                  <a:lumMod val="20000"/>
                  <a:lumOff val="80000"/>
                </a:schemeClr>
              </a:solidFill>
              <a:prstDash val="solid"/>
            </a:ln>
            <a:effectLst/>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'Resultados Español'!#REF!</c:f>
              <c:numCache>
                <c:formatCode>General</c:formatCode>
                <c:ptCount val="1"/>
                <c:pt idx="0">
                  <c:v>1</c:v>
                </c:pt>
              </c:numCache>
            </c:numRef>
          </c:val>
        </c:ser>
        <c:dLbls>
          <c:showLegendKey val="0"/>
          <c:showVal val="0"/>
          <c:showCatName val="0"/>
          <c:showSerName val="0"/>
          <c:showPercent val="0"/>
          <c:showBubbleSize val="0"/>
        </c:dLbls>
        <c:gapWidth val="40"/>
        <c:overlap val="100"/>
        <c:axId val="34067168"/>
        <c:axId val="34067952"/>
      </c:barChart>
      <c:catAx>
        <c:axId val="34067168"/>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40000" dist="20000" dir="5400000" rotWithShape="0">
              <a:srgbClr val="000000">
                <a:alpha val="38000"/>
              </a:srgbClr>
            </a:outerShdw>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MX"/>
          </a:p>
        </c:txPr>
        <c:crossAx val="34067952"/>
        <c:crosses val="autoZero"/>
        <c:auto val="1"/>
        <c:lblAlgn val="ctr"/>
        <c:lblOffset val="100"/>
        <c:noMultiLvlLbl val="0"/>
      </c:catAx>
      <c:valAx>
        <c:axId val="34067952"/>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40000" dist="20000" dir="5400000" rotWithShape="0">
              <a:srgbClr val="000000">
                <a:alpha val="38000"/>
              </a:srgbClr>
            </a:outerShdw>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MX"/>
          </a:p>
        </c:txPr>
        <c:crossAx val="34067168"/>
        <c:crosses val="autoZero"/>
        <c:crossBetween val="between"/>
      </c:valAx>
      <c:spPr>
        <a:noFill/>
        <a:ln>
          <a:noFill/>
        </a:ln>
        <a:effectLst/>
      </c:spPr>
    </c:plotArea>
    <c:legend>
      <c:legendPos val="b"/>
      <c:legendEntry>
        <c:idx val="2"/>
        <c:delete val="1"/>
      </c:legendEntry>
      <c:layout>
        <c:manualLayout>
          <c:xMode val="edge"/>
          <c:yMode val="edge"/>
          <c:x val="0.56222130390545511"/>
          <c:y val="8.3333333333333337E-6"/>
          <c:w val="0.43777869609454489"/>
          <c:h val="4.256476253261277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92395061728395"/>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Español'!$AG$2:$AH$2</c:f>
              <c:strCache>
                <c:ptCount val="2"/>
                <c:pt idx="0">
                  <c:v>Aspectos sintácticos y semánticos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Español'!$AI$2:$AJ$2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Búsqueda y manejo de la información</a:t>
            </a:r>
          </a:p>
        </c:rich>
      </c:tx>
      <c:layout>
        <c:manualLayout>
          <c:xMode val="edge"/>
          <c:yMode val="edge"/>
          <c:x val="0.2510367283950617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Español'!$AG$3:$AH$3</c:f>
              <c:strCache>
                <c:ptCount val="2"/>
                <c:pt idx="0">
                  <c:v>Búsqueda y manejo de la información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Español'!$AI$3:$AJ$3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Comprensión e interpretación</a:t>
            </a:r>
          </a:p>
        </c:rich>
      </c:tx>
      <c:layout>
        <c:manualLayout>
          <c:xMode val="edge"/>
          <c:yMode val="edge"/>
          <c:x val="0.3059132716049382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Español'!$AG$4:$AH$4</c:f>
              <c:strCache>
                <c:ptCount val="2"/>
                <c:pt idx="0">
                  <c:v>Comprensión e interpretación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Español'!$AI$4:$AJ$4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Conocimiento del sistema de escritura y ortografía</a:t>
            </a:r>
          </a:p>
        </c:rich>
      </c:tx>
      <c:layout>
        <c:manualLayout>
          <c:xMode val="edge"/>
          <c:yMode val="edge"/>
          <c:x val="0.14312253086419752"/>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Español'!$AG$5:$AH$5</c:f>
              <c:strCache>
                <c:ptCount val="2"/>
                <c:pt idx="0">
                  <c:v>Conocimiento del sistema de escritura y ortografía</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Español'!$AI$5:$AJ$5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accent1">
        <a:lumMod val="20000"/>
        <a:lumOff val="8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Organización gráfica de los textos</a:t>
            </a:r>
          </a:p>
        </c:rich>
      </c:tx>
      <c:layout>
        <c:manualLayout>
          <c:xMode val="edge"/>
          <c:yMode val="edge"/>
          <c:x val="0.24111635802469136"/>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Español'!$AG$6:$AH$6</c:f>
              <c:strCache>
                <c:ptCount val="2"/>
                <c:pt idx="0">
                  <c:v>Organización gráfica de los textos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Español'!$AI$6:$AJ$6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7235679012345676"/>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Español'!$AG$7:$AH$7</c:f>
              <c:strCache>
                <c:ptCount val="2"/>
                <c:pt idx="0">
                  <c:v>Propiedades y tipos de texto</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7.8395061728395062E-3"/>
                  <c:y val="-8.5918842672574172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Español'!$AI$7:$AJ$7</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MATEMÁTICAS</a:t>
            </a:r>
            <a:endParaRPr lang="es-MX">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100">
              <a:effectLst/>
            </a:endParaRPr>
          </a:p>
        </c:rich>
      </c:tx>
      <c:layout>
        <c:manualLayout>
          <c:xMode val="edge"/>
          <c:yMode val="edge"/>
          <c:x val="6.2792397660818707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Matemáticas'!$A$6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Matemáticas'!$B$6:$AE$6</c:f>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1"/>
          <c:order val="1"/>
          <c:tx>
            <c:strRef>
              <c:f>'Resultados Matemáticas'!$A$7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Matemáticas'!$B$7:$AE$7</c:f>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strRef>
              <c:f>'Resultados Matemáticas'!#REF!</c:f>
              <c:strCache>
                <c:ptCount val="1"/>
                <c:pt idx="0">
                  <c:v>#REF!</c:v>
                </c:pt>
              </c:strCache>
            </c:strRef>
          </c:tx>
          <c:spPr>
            <a:noFill/>
            <a:ln w="3175">
              <a:solidFill>
                <a:schemeClr val="tx2">
                  <a:lumMod val="20000"/>
                  <a:lumOff val="80000"/>
                </a:schemeClr>
              </a:solidFill>
            </a:ln>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'Resultados Matemáticas'!#REF!</c:f>
              <c:numCache>
                <c:formatCode>General</c:formatCode>
                <c:ptCount val="1"/>
                <c:pt idx="0">
                  <c:v>1</c:v>
                </c:pt>
              </c:numCache>
            </c:numRef>
          </c:val>
        </c:ser>
        <c:dLbls>
          <c:showLegendKey val="0"/>
          <c:showVal val="0"/>
          <c:showCatName val="0"/>
          <c:showSerName val="0"/>
          <c:showPercent val="0"/>
          <c:showBubbleSize val="0"/>
        </c:dLbls>
        <c:gapWidth val="40"/>
        <c:overlap val="100"/>
        <c:axId val="34065208"/>
        <c:axId val="34061288"/>
      </c:barChart>
      <c:catAx>
        <c:axId val="34065208"/>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40000" dist="20000" dir="5400000" rotWithShape="0">
              <a:srgbClr val="000000">
                <a:alpha val="38000"/>
              </a:srgbClr>
            </a:outerShdw>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MX"/>
          </a:p>
        </c:txPr>
        <c:crossAx val="34061288"/>
        <c:crosses val="autoZero"/>
        <c:auto val="1"/>
        <c:lblAlgn val="ctr"/>
        <c:lblOffset val="100"/>
        <c:noMultiLvlLbl val="0"/>
      </c:catAx>
      <c:valAx>
        <c:axId val="34061288"/>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40000" dist="20000" dir="5400000" rotWithShape="0">
              <a:srgbClr val="000000">
                <a:alpha val="38000"/>
              </a:srgbClr>
            </a:outerShdw>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MX"/>
          </a:p>
        </c:txPr>
        <c:crossAx val="34065208"/>
        <c:crosses val="autoZero"/>
        <c:crossBetween val="between"/>
      </c:valAx>
      <c:spPr>
        <a:noFill/>
        <a:ln>
          <a:noFill/>
        </a:ln>
        <a:effectLst/>
      </c:spPr>
    </c:plotArea>
    <c:legend>
      <c:legendPos val="b"/>
      <c:legendEntry>
        <c:idx val="2"/>
        <c:delete val="1"/>
      </c:legendEntry>
      <c:layout>
        <c:manualLayout>
          <c:xMode val="edge"/>
          <c:yMode val="edge"/>
          <c:x val="0.56176805196838053"/>
          <c:y val="8.3333346949893304E-6"/>
          <c:w val="0.43823194444444447"/>
          <c:h val="4.254820956670091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6643086419753085"/>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Matemáticas'!$AG$2:$AH$2</c:f>
              <c:strCache>
                <c:ptCount val="2"/>
                <c:pt idx="0">
                  <c:v>Figuras y cuerpos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Matemáticas'!$AI$2:$AJ$2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Medida</a:t>
            </a:r>
          </a:p>
        </c:rich>
      </c:tx>
      <c:layout>
        <c:manualLayout>
          <c:xMode val="edge"/>
          <c:yMode val="edge"/>
          <c:x val="0.43526512345679014"/>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Matemáticas'!$AG$3:$AH$3</c:f>
              <c:strCache>
                <c:ptCount val="2"/>
                <c:pt idx="0">
                  <c:v>Medida</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Matemáticas'!$AI$3:$AJ$3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Números y sistemas de numeración</a:t>
            </a:r>
          </a:p>
        </c:rich>
      </c:tx>
      <c:layout>
        <c:manualLayout>
          <c:xMode val="edge"/>
          <c:yMode val="edge"/>
          <c:x val="0.2510367283950617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Matemáticas'!$AG$4:$AH$4</c:f>
              <c:strCache>
                <c:ptCount val="2"/>
                <c:pt idx="0">
                  <c:v>Números y sistemas de numeración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Matemáticas'!$AI$4:$AJ$4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Problemas aditivos</a:t>
            </a:r>
          </a:p>
        </c:rich>
      </c:tx>
      <c:layout>
        <c:manualLayout>
          <c:xMode val="edge"/>
          <c:yMode val="edge"/>
          <c:x val="0.3469496913580246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Matemáticas'!$AG$5:$AH$5</c:f>
              <c:strCache>
                <c:ptCount val="2"/>
                <c:pt idx="0">
                  <c:v>Problemas aditivos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Matemáticas'!$AI$5:$AJ$5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accent1">
        <a:lumMod val="20000"/>
        <a:lumOff val="8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Problemas multiplicativos</a:t>
            </a:r>
          </a:p>
        </c:rich>
      </c:tx>
      <c:layout>
        <c:manualLayout>
          <c:xMode val="edge"/>
          <c:yMode val="edge"/>
          <c:x val="0.30383240740740736"/>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Matemáticas'!$AG$6:$AH$6</c:f>
              <c:strCache>
                <c:ptCount val="2"/>
                <c:pt idx="0">
                  <c:v>Problemas multiplicativos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Matemáticas'!$AI$6:$AJ$6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0</xdr:col>
      <xdr:colOff>166693</xdr:colOff>
      <xdr:row>11</xdr:row>
      <xdr:rowOff>1819206</xdr:rowOff>
    </xdr:from>
    <xdr:to>
      <xdr:col>1</xdr:col>
      <xdr:colOff>379528</xdr:colOff>
      <xdr:row>11</xdr:row>
      <xdr:rowOff>4951206</xdr:rowOff>
    </xdr:to>
    <xdr:pic>
      <xdr:nvPicPr>
        <xdr:cNvPr id="15" name="Imagen 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6693" y="6950800"/>
          <a:ext cx="7618523" cy="31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1071544</xdr:colOff>
      <xdr:row>7</xdr:row>
      <xdr:rowOff>202409</xdr:rowOff>
    </xdr:from>
    <xdr:to>
      <xdr:col>7</xdr:col>
      <xdr:colOff>530326</xdr:colOff>
      <xdr:row>7</xdr:row>
      <xdr:rowOff>1282409</xdr:rowOff>
    </xdr:to>
    <xdr:grpSp>
      <xdr:nvGrpSpPr>
        <xdr:cNvPr id="8" name="Grupo 7"/>
        <xdr:cNvGrpSpPr/>
      </xdr:nvGrpSpPr>
      <xdr:grpSpPr>
        <a:xfrm>
          <a:off x="9239232" y="2488409"/>
          <a:ext cx="5400000" cy="1080000"/>
          <a:chOff x="9239233" y="2119315"/>
          <a:chExt cx="3521413" cy="766640"/>
        </a:xfrm>
      </xdr:grpSpPr>
      <xdr:pic>
        <xdr:nvPicPr>
          <xdr:cNvPr id="10" name="9 Imagen"/>
          <xdr:cNvPicPr>
            <a:picLocks noChangeAspect="1" noChangeArrowheads="1"/>
          </xdr:cNvPicPr>
        </xdr:nvPicPr>
        <xdr:blipFill rotWithShape="1">
          <a:blip xmlns:r="http://schemas.openxmlformats.org/officeDocument/2006/relationships" r:embed="rId2">
            <a:lum/>
            <a:extLst>
              <a:ext uri="{28A0092B-C50C-407E-A947-70E740481C1C}">
                <a14:useLocalDpi xmlns:a14="http://schemas.microsoft.com/office/drawing/2010/main" val="0"/>
              </a:ext>
            </a:extLst>
          </a:blip>
          <a:srcRect l="1916" t="15228" r="3535" b="13071"/>
          <a:stretch/>
        </xdr:blipFill>
        <xdr:spPr bwMode="auto">
          <a:xfrm>
            <a:off x="9239233" y="2119315"/>
            <a:ext cx="3012288" cy="76664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xnSp macro="">
        <xdr:nvCxnSpPr>
          <xdr:cNvPr id="16" name="15 Conector recto de flecha"/>
          <xdr:cNvCxnSpPr/>
        </xdr:nvCxnSpPr>
        <xdr:spPr>
          <a:xfrm flipH="1">
            <a:off x="11977634" y="2783681"/>
            <a:ext cx="783012"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0</xdr:col>
      <xdr:colOff>3345657</xdr:colOff>
      <xdr:row>13</xdr:row>
      <xdr:rowOff>83351</xdr:rowOff>
    </xdr:from>
    <xdr:to>
      <xdr:col>0</xdr:col>
      <xdr:colOff>4245657</xdr:colOff>
      <xdr:row>13</xdr:row>
      <xdr:rowOff>983351</xdr:rowOff>
    </xdr:to>
    <xdr:pic>
      <xdr:nvPicPr>
        <xdr:cNvPr id="25" name="Imagen 24"/>
        <xdr:cNvPicPr>
          <a:picLocks noChangeAspect="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345657" y="17466476"/>
          <a:ext cx="900000" cy="9000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941616</xdr:colOff>
      <xdr:row>13</xdr:row>
      <xdr:rowOff>2231571</xdr:rowOff>
    </xdr:from>
    <xdr:to>
      <xdr:col>0</xdr:col>
      <xdr:colOff>3669105</xdr:colOff>
      <xdr:row>13</xdr:row>
      <xdr:rowOff>5039571</xdr:rowOff>
    </xdr:to>
    <xdr:grpSp>
      <xdr:nvGrpSpPr>
        <xdr:cNvPr id="6" name="Grupo 5"/>
        <xdr:cNvGrpSpPr/>
      </xdr:nvGrpSpPr>
      <xdr:grpSpPr>
        <a:xfrm>
          <a:off x="941616" y="15399884"/>
          <a:ext cx="2727489" cy="2808000"/>
          <a:chOff x="5075466" y="18528846"/>
          <a:chExt cx="2727489" cy="2808000"/>
        </a:xfrm>
      </xdr:grpSpPr>
      <xdr:pic>
        <xdr:nvPicPr>
          <xdr:cNvPr id="4" name="Imagen 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75466" y="18528846"/>
            <a:ext cx="2727489" cy="2808000"/>
          </a:xfrm>
          <a:prstGeom prst="rect">
            <a:avLst/>
          </a:prstGeom>
        </xdr:spPr>
      </xdr:pic>
      <xdr:sp macro="" textlink="">
        <xdr:nvSpPr>
          <xdr:cNvPr id="42" name="2 Rectángulo"/>
          <xdr:cNvSpPr/>
        </xdr:nvSpPr>
        <xdr:spPr>
          <a:xfrm>
            <a:off x="5523256" y="20682670"/>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8" name="2 Rectángulo"/>
          <xdr:cNvSpPr/>
        </xdr:nvSpPr>
        <xdr:spPr>
          <a:xfrm>
            <a:off x="6067192" y="19834274"/>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476251</xdr:colOff>
      <xdr:row>11</xdr:row>
      <xdr:rowOff>2166936</xdr:rowOff>
    </xdr:from>
    <xdr:to>
      <xdr:col>1</xdr:col>
      <xdr:colOff>357187</xdr:colOff>
      <xdr:row>11</xdr:row>
      <xdr:rowOff>4941092</xdr:rowOff>
    </xdr:to>
    <xdr:sp macro="" textlink="">
      <xdr:nvSpPr>
        <xdr:cNvPr id="2" name="Rectángulo 1"/>
        <xdr:cNvSpPr/>
      </xdr:nvSpPr>
      <xdr:spPr>
        <a:xfrm>
          <a:off x="476251" y="7298530"/>
          <a:ext cx="7286624" cy="277415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3214688</xdr:colOff>
      <xdr:row>12</xdr:row>
      <xdr:rowOff>71438</xdr:rowOff>
    </xdr:from>
    <xdr:to>
      <xdr:col>0</xdr:col>
      <xdr:colOff>4454260</xdr:colOff>
      <xdr:row>12</xdr:row>
      <xdr:rowOff>1295438</xdr:rowOff>
    </xdr:to>
    <xdr:pic>
      <xdr:nvPicPr>
        <xdr:cNvPr id="24" name="Imagen 23"/>
        <xdr:cNvPicPr>
          <a:picLocks noChangeAspect="1"/>
        </xdr:cNvPicPr>
      </xdr:nvPicPr>
      <xdr:blipFill>
        <a:blip xmlns:r="http://schemas.openxmlformats.org/officeDocument/2006/relationships" r:embed="rId5"/>
        <a:stretch>
          <a:fillRect/>
        </a:stretch>
      </xdr:blipFill>
      <xdr:spPr>
        <a:xfrm>
          <a:off x="3214688" y="10406063"/>
          <a:ext cx="1239572" cy="1224000"/>
        </a:xfrm>
        <a:prstGeom prst="rect">
          <a:avLst/>
        </a:prstGeom>
      </xdr:spPr>
    </xdr:pic>
    <xdr:clientData/>
  </xdr:twoCellAnchor>
  <xdr:twoCellAnchor editAs="oneCell">
    <xdr:from>
      <xdr:col>0</xdr:col>
      <xdr:colOff>3690936</xdr:colOff>
      <xdr:row>12</xdr:row>
      <xdr:rowOff>2345531</xdr:rowOff>
    </xdr:from>
    <xdr:to>
      <xdr:col>0</xdr:col>
      <xdr:colOff>4750593</xdr:colOff>
      <xdr:row>12</xdr:row>
      <xdr:rowOff>2698750</xdr:rowOff>
    </xdr:to>
    <xdr:pic>
      <xdr:nvPicPr>
        <xdr:cNvPr id="26" name="Imagen 25"/>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t="12153" b="36459"/>
        <a:stretch/>
      </xdr:blipFill>
      <xdr:spPr bwMode="auto">
        <a:xfrm>
          <a:off x="3690936" y="12680156"/>
          <a:ext cx="1059657" cy="353219"/>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0</xdr:col>
      <xdr:colOff>2587906</xdr:colOff>
      <xdr:row>3</xdr:row>
      <xdr:rowOff>45562</xdr:rowOff>
    </xdr:to>
    <xdr:pic>
      <xdr:nvPicPr>
        <xdr:cNvPr id="3" name="Imagen 2"/>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0"/>
          <a:ext cx="2587906" cy="126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44</xdr:col>
      <xdr:colOff>0</xdr:colOff>
      <xdr:row>0</xdr:row>
      <xdr:rowOff>217712</xdr:rowOff>
    </xdr:from>
    <xdr:to>
      <xdr:col>46</xdr:col>
      <xdr:colOff>327806</xdr:colOff>
      <xdr:row>7</xdr:row>
      <xdr:rowOff>220712</xdr:rowOff>
    </xdr:to>
    <xdr:pic macro="[0]!Guardar">
      <xdr:nvPicPr>
        <xdr:cNvPr id="8" name="Imagen 7"/>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5269714" y="217712"/>
          <a:ext cx="1851806" cy="19080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47</xdr:col>
      <xdr:colOff>0</xdr:colOff>
      <xdr:row>0</xdr:row>
      <xdr:rowOff>0</xdr:rowOff>
    </xdr:from>
    <xdr:to>
      <xdr:col>50</xdr:col>
      <xdr:colOff>266060</xdr:colOff>
      <xdr:row>9</xdr:row>
      <xdr:rowOff>125143</xdr:rowOff>
    </xdr:to>
    <xdr:pic macro="[0]!CALESP">
      <xdr:nvPicPr>
        <xdr:cNvPr id="9" name="Imagen 8"/>
        <xdr:cNvPicPr>
          <a:picLocks noChangeAspect="1"/>
        </xdr:cNvPicPr>
      </xdr:nvPicPr>
      <xdr:blipFill>
        <a:blip xmlns:r="http://schemas.openxmlformats.org/officeDocument/2006/relationships" r:embed="rId2"/>
        <a:stretch>
          <a:fillRect/>
        </a:stretch>
      </xdr:blipFill>
      <xdr:spPr>
        <a:xfrm>
          <a:off x="37555714" y="0"/>
          <a:ext cx="2552060" cy="25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2379</xdr:rowOff>
    </xdr:from>
    <xdr:to>
      <xdr:col>30</xdr:col>
      <xdr:colOff>338063</xdr:colOff>
      <xdr:row>40</xdr:row>
      <xdr:rowOff>181160</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xdr:row>
      <xdr:rowOff>0</xdr:rowOff>
    </xdr:from>
    <xdr:to>
      <xdr:col>33</xdr:col>
      <xdr:colOff>1525500</xdr:colOff>
      <xdr:row>25</xdr:row>
      <xdr:rowOff>168188</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0</xdr:colOff>
      <xdr:row>9</xdr:row>
      <xdr:rowOff>0</xdr:rowOff>
    </xdr:from>
    <xdr:to>
      <xdr:col>35</xdr:col>
      <xdr:colOff>1525500</xdr:colOff>
      <xdr:row>25</xdr:row>
      <xdr:rowOff>168188</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0</xdr:colOff>
      <xdr:row>9</xdr:row>
      <xdr:rowOff>0</xdr:rowOff>
    </xdr:from>
    <xdr:to>
      <xdr:col>37</xdr:col>
      <xdr:colOff>1525500</xdr:colOff>
      <xdr:row>25</xdr:row>
      <xdr:rowOff>168188</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0</xdr:colOff>
      <xdr:row>26</xdr:row>
      <xdr:rowOff>178594</xdr:rowOff>
    </xdr:from>
    <xdr:to>
      <xdr:col>33</xdr:col>
      <xdr:colOff>1525500</xdr:colOff>
      <xdr:row>43</xdr:row>
      <xdr:rowOff>168187</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0</xdr:colOff>
      <xdr:row>26</xdr:row>
      <xdr:rowOff>178594</xdr:rowOff>
    </xdr:from>
    <xdr:to>
      <xdr:col>35</xdr:col>
      <xdr:colOff>1525500</xdr:colOff>
      <xdr:row>43</xdr:row>
      <xdr:rowOff>168187</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0</xdr:colOff>
      <xdr:row>26</xdr:row>
      <xdr:rowOff>178594</xdr:rowOff>
    </xdr:from>
    <xdr:to>
      <xdr:col>37</xdr:col>
      <xdr:colOff>1525500</xdr:colOff>
      <xdr:row>43</xdr:row>
      <xdr:rowOff>168187</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47</xdr:col>
      <xdr:colOff>0</xdr:colOff>
      <xdr:row>0</xdr:row>
      <xdr:rowOff>0</xdr:rowOff>
    </xdr:from>
    <xdr:to>
      <xdr:col>50</xdr:col>
      <xdr:colOff>266060</xdr:colOff>
      <xdr:row>9</xdr:row>
      <xdr:rowOff>125143</xdr:rowOff>
    </xdr:to>
    <xdr:pic macro="[0]!CALMAT">
      <xdr:nvPicPr>
        <xdr:cNvPr id="4" name="Imagen 3"/>
        <xdr:cNvPicPr>
          <a:picLocks noChangeAspect="1"/>
        </xdr:cNvPicPr>
      </xdr:nvPicPr>
      <xdr:blipFill>
        <a:blip xmlns:r="http://schemas.openxmlformats.org/officeDocument/2006/relationships" r:embed="rId1"/>
        <a:stretch>
          <a:fillRect/>
        </a:stretch>
      </xdr:blipFill>
      <xdr:spPr>
        <a:xfrm>
          <a:off x="37555714" y="0"/>
          <a:ext cx="2552060" cy="2520000"/>
        </a:xfrm>
        <a:prstGeom prst="rect">
          <a:avLst/>
        </a:prstGeom>
      </xdr:spPr>
    </xdr:pic>
    <xdr:clientData/>
  </xdr:twoCellAnchor>
  <xdr:twoCellAnchor editAs="oneCell">
    <xdr:from>
      <xdr:col>44</xdr:col>
      <xdr:colOff>0</xdr:colOff>
      <xdr:row>0</xdr:row>
      <xdr:rowOff>217711</xdr:rowOff>
    </xdr:from>
    <xdr:to>
      <xdr:col>46</xdr:col>
      <xdr:colOff>327806</xdr:colOff>
      <xdr:row>7</xdr:row>
      <xdr:rowOff>220711</xdr:rowOff>
    </xdr:to>
    <xdr:pic macro="[0]!Guardar">
      <xdr:nvPicPr>
        <xdr:cNvPr id="6" name="Imagen 5"/>
        <xdr:cNvPicPr>
          <a:picLocks noChangeAspect="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5269714" y="217711"/>
          <a:ext cx="1851806" cy="1908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xdr:row>
      <xdr:rowOff>0</xdr:rowOff>
    </xdr:from>
    <xdr:to>
      <xdr:col>30</xdr:col>
      <xdr:colOff>338063</xdr:colOff>
      <xdr:row>41</xdr:row>
      <xdr:rowOff>187</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xdr:row>
      <xdr:rowOff>0</xdr:rowOff>
    </xdr:from>
    <xdr:to>
      <xdr:col>33</xdr:col>
      <xdr:colOff>1525500</xdr:colOff>
      <xdr:row>25</xdr:row>
      <xdr:rowOff>168188</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0</xdr:colOff>
      <xdr:row>9</xdr:row>
      <xdr:rowOff>0</xdr:rowOff>
    </xdr:from>
    <xdr:to>
      <xdr:col>35</xdr:col>
      <xdr:colOff>1525500</xdr:colOff>
      <xdr:row>25</xdr:row>
      <xdr:rowOff>168188</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0</xdr:colOff>
      <xdr:row>9</xdr:row>
      <xdr:rowOff>0</xdr:rowOff>
    </xdr:from>
    <xdr:to>
      <xdr:col>37</xdr:col>
      <xdr:colOff>1525500</xdr:colOff>
      <xdr:row>25</xdr:row>
      <xdr:rowOff>168188</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23808</xdr:colOff>
      <xdr:row>26</xdr:row>
      <xdr:rowOff>178594</xdr:rowOff>
    </xdr:from>
    <xdr:to>
      <xdr:col>34</xdr:col>
      <xdr:colOff>1549308</xdr:colOff>
      <xdr:row>43</xdr:row>
      <xdr:rowOff>180094</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23808</xdr:colOff>
      <xdr:row>26</xdr:row>
      <xdr:rowOff>178594</xdr:rowOff>
    </xdr:from>
    <xdr:to>
      <xdr:col>36</xdr:col>
      <xdr:colOff>1549308</xdr:colOff>
      <xdr:row>43</xdr:row>
      <xdr:rowOff>180094</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9"/>
  </sheetPr>
  <dimension ref="A1:I15"/>
  <sheetViews>
    <sheetView showGridLines="0" tabSelected="1" zoomScale="80" zoomScaleNormal="80" workbookViewId="0">
      <selection sqref="A1:I4"/>
    </sheetView>
  </sheetViews>
  <sheetFormatPr baseColWidth="10" defaultRowHeight="15" x14ac:dyDescent="0.25"/>
  <cols>
    <col min="1" max="1" width="111" customWidth="1"/>
    <col min="3" max="3" width="43.42578125" customWidth="1"/>
    <col min="9" max="9" width="13.28515625" customWidth="1"/>
  </cols>
  <sheetData>
    <row r="1" spans="1:9" ht="32.25" customHeight="1" x14ac:dyDescent="0.25">
      <c r="A1" s="112" t="s">
        <v>311</v>
      </c>
      <c r="B1" s="113"/>
      <c r="C1" s="113"/>
      <c r="D1" s="113"/>
      <c r="E1" s="113"/>
      <c r="F1" s="113"/>
      <c r="G1" s="113"/>
      <c r="H1" s="113"/>
      <c r="I1" s="113"/>
    </row>
    <row r="2" spans="1:9" ht="32.25" customHeight="1" x14ac:dyDescent="0.25">
      <c r="A2" s="113"/>
      <c r="B2" s="113"/>
      <c r="C2" s="113"/>
      <c r="D2" s="113"/>
      <c r="E2" s="113"/>
      <c r="F2" s="113"/>
      <c r="G2" s="113"/>
      <c r="H2" s="113"/>
      <c r="I2" s="113"/>
    </row>
    <row r="3" spans="1:9" ht="32.25" customHeight="1" x14ac:dyDescent="0.25">
      <c r="A3" s="113"/>
      <c r="B3" s="113"/>
      <c r="C3" s="113"/>
      <c r="D3" s="113"/>
      <c r="E3" s="113"/>
      <c r="F3" s="113"/>
      <c r="G3" s="113"/>
      <c r="H3" s="113"/>
      <c r="I3" s="113"/>
    </row>
    <row r="4" spans="1:9" x14ac:dyDescent="0.25">
      <c r="A4" s="113"/>
      <c r="B4" s="113"/>
      <c r="C4" s="113"/>
      <c r="D4" s="113"/>
      <c r="E4" s="113"/>
      <c r="F4" s="113"/>
      <c r="G4" s="113"/>
      <c r="H4" s="113"/>
      <c r="I4" s="113"/>
    </row>
    <row r="5" spans="1:9" ht="5.0999999999999996" customHeight="1" x14ac:dyDescent="0.25">
      <c r="A5" s="116"/>
      <c r="B5" s="116"/>
      <c r="C5" s="116"/>
      <c r="D5" s="116"/>
      <c r="E5" s="116"/>
      <c r="F5" s="116"/>
      <c r="G5" s="116"/>
      <c r="H5" s="116"/>
      <c r="I5" s="116"/>
    </row>
    <row r="6" spans="1:9" ht="5.0999999999999996" customHeight="1" x14ac:dyDescent="0.25">
      <c r="A6" s="109"/>
      <c r="B6" s="109"/>
      <c r="C6" s="109"/>
      <c r="D6" s="109"/>
      <c r="E6" s="109"/>
      <c r="F6" s="109"/>
      <c r="G6" s="109"/>
      <c r="H6" s="109"/>
      <c r="I6" s="109"/>
    </row>
    <row r="7" spans="1:9" ht="60" customHeight="1" x14ac:dyDescent="0.25">
      <c r="A7" s="110" t="s">
        <v>312</v>
      </c>
      <c r="B7" s="110"/>
      <c r="C7" s="110"/>
      <c r="D7" s="110"/>
      <c r="E7" s="110"/>
      <c r="F7" s="110"/>
      <c r="G7" s="110"/>
      <c r="H7" s="110"/>
      <c r="I7" s="110"/>
    </row>
    <row r="8" spans="1:9" ht="129.94999999999999" customHeight="1" x14ac:dyDescent="0.25">
      <c r="A8" s="117" t="s">
        <v>38</v>
      </c>
      <c r="B8" s="117"/>
      <c r="C8" s="117"/>
      <c r="D8" s="117"/>
      <c r="E8" s="117"/>
      <c r="F8" s="117"/>
      <c r="G8" s="117"/>
      <c r="H8" s="117"/>
      <c r="I8" s="117"/>
    </row>
    <row r="9" spans="1:9" ht="51" x14ac:dyDescent="0.25">
      <c r="A9" s="118" t="s">
        <v>84</v>
      </c>
      <c r="B9" s="119"/>
      <c r="C9" s="119"/>
      <c r="D9" s="119"/>
      <c r="E9" s="119"/>
      <c r="F9" s="119"/>
      <c r="G9" s="119"/>
      <c r="H9" s="119"/>
      <c r="I9" s="119"/>
    </row>
    <row r="10" spans="1:9" ht="5.0999999999999996" customHeight="1" x14ac:dyDescent="0.25">
      <c r="A10" s="109"/>
      <c r="B10" s="109"/>
      <c r="C10" s="109"/>
      <c r="D10" s="109"/>
      <c r="E10" s="109"/>
      <c r="F10" s="109"/>
      <c r="G10" s="109"/>
      <c r="H10" s="109"/>
      <c r="I10" s="109"/>
    </row>
    <row r="11" spans="1:9" s="5" customFormat="1" ht="39.950000000000003" customHeight="1" x14ac:dyDescent="0.7">
      <c r="A11" s="115" t="s">
        <v>37</v>
      </c>
      <c r="B11" s="115"/>
      <c r="C11" s="115"/>
      <c r="D11" s="115"/>
      <c r="E11" s="115"/>
      <c r="F11" s="115"/>
      <c r="G11" s="115"/>
      <c r="H11" s="115"/>
      <c r="I11" s="115"/>
    </row>
    <row r="12" spans="1:9" ht="409.6" customHeight="1" thickBot="1" x14ac:dyDescent="0.3">
      <c r="A12" s="114" t="s">
        <v>313</v>
      </c>
      <c r="B12" s="114"/>
      <c r="C12" s="114"/>
      <c r="D12" s="114"/>
      <c r="E12" s="114"/>
      <c r="F12" s="114"/>
      <c r="G12" s="114"/>
      <c r="H12" s="114"/>
      <c r="I12" s="114"/>
    </row>
    <row r="13" spans="1:9" ht="223.5" customHeight="1" thickTop="1" thickBot="1" x14ac:dyDescent="0.3">
      <c r="A13" s="108" t="s">
        <v>314</v>
      </c>
      <c r="B13" s="108"/>
      <c r="C13" s="108"/>
      <c r="D13" s="108"/>
      <c r="E13" s="108"/>
      <c r="F13" s="108"/>
      <c r="G13" s="108"/>
      <c r="H13" s="108"/>
      <c r="I13" s="108"/>
    </row>
    <row r="14" spans="1:9" ht="399.95" customHeight="1" thickTop="1" x14ac:dyDescent="0.25">
      <c r="A14" s="111" t="s">
        <v>85</v>
      </c>
      <c r="B14" s="111"/>
      <c r="C14" s="111"/>
      <c r="D14" s="111"/>
      <c r="E14" s="111"/>
      <c r="F14" s="111"/>
      <c r="G14" s="111"/>
      <c r="H14" s="111"/>
      <c r="I14" s="111"/>
    </row>
    <row r="15" spans="1:9" ht="5.0999999999999996" customHeight="1" x14ac:dyDescent="0.25">
      <c r="A15" s="109"/>
      <c r="B15" s="109"/>
      <c r="C15" s="109"/>
      <c r="D15" s="109"/>
      <c r="E15" s="109"/>
      <c r="F15" s="109"/>
      <c r="G15" s="109"/>
      <c r="H15" s="109"/>
      <c r="I15" s="109"/>
    </row>
  </sheetData>
  <sheetProtection algorithmName="SHA-512" hashValue="CM2o0i+xH+j/qNbvcEKVdGE0w9byXLisZzbYkE0pc5jKrreoAYBW0JdytFMZd9FS3NK4M6fZ/9QvIV2ivOebNg==" saltValue="xLnOwV/iA0Rq5sa0Wy2ldg==" spinCount="100000" sheet="1" objects="1" scenarios="1"/>
  <mergeCells count="12">
    <mergeCell ref="A13:I13"/>
    <mergeCell ref="A15:I15"/>
    <mergeCell ref="A7:I7"/>
    <mergeCell ref="A14:I14"/>
    <mergeCell ref="A1:I4"/>
    <mergeCell ref="A12:I12"/>
    <mergeCell ref="A11:I11"/>
    <mergeCell ref="A5:I5"/>
    <mergeCell ref="A8:I8"/>
    <mergeCell ref="A6:I6"/>
    <mergeCell ref="A9:I9"/>
    <mergeCell ref="A10:I10"/>
  </mergeCells>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499984740745262"/>
  </sheetPr>
  <dimension ref="A1:AQ402"/>
  <sheetViews>
    <sheetView showGridLines="0" zoomScale="70" zoomScaleNormal="70" workbookViewId="0">
      <pane xSplit="4" ySplit="2" topLeftCell="E3" activePane="bottomRight" state="frozen"/>
      <selection pane="topRight" activeCell="E1" sqref="E1"/>
      <selection pane="bottomLeft" activeCell="A12" sqref="A12"/>
      <selection pane="bottomRight" sqref="A1:A2"/>
    </sheetView>
  </sheetViews>
  <sheetFormatPr baseColWidth="10" defaultRowHeight="12.75" x14ac:dyDescent="0.25"/>
  <cols>
    <col min="1" max="1" width="10.7109375" style="4" customWidth="1"/>
    <col min="2" max="4" width="25.7109375" style="4" customWidth="1"/>
    <col min="5" max="5" width="25.7109375" style="3" customWidth="1"/>
    <col min="6" max="6" width="20.7109375" style="3" customWidth="1"/>
    <col min="7" max="7" width="15.7109375" style="3" customWidth="1"/>
    <col min="8" max="37" width="3.7109375" style="3" customWidth="1"/>
    <col min="38" max="43" width="12.7109375" style="3" hidden="1" customWidth="1"/>
    <col min="44" max="16384" width="11.42578125" style="1"/>
  </cols>
  <sheetData>
    <row r="1" spans="1:43" ht="23.25" x14ac:dyDescent="0.25">
      <c r="A1" s="122" t="s">
        <v>2</v>
      </c>
      <c r="B1" s="124" t="s">
        <v>4</v>
      </c>
      <c r="C1" s="124" t="s">
        <v>5</v>
      </c>
      <c r="D1" s="124" t="s">
        <v>3</v>
      </c>
      <c r="E1" s="126" t="s">
        <v>1</v>
      </c>
      <c r="F1" s="126" t="s">
        <v>0</v>
      </c>
      <c r="G1" s="126" t="s">
        <v>39</v>
      </c>
      <c r="H1" s="128" t="s">
        <v>6</v>
      </c>
      <c r="I1" s="130" t="s">
        <v>7</v>
      </c>
      <c r="J1" s="132" t="s">
        <v>8</v>
      </c>
      <c r="K1" s="132" t="s">
        <v>9</v>
      </c>
      <c r="L1" s="130" t="s">
        <v>10</v>
      </c>
      <c r="M1" s="130" t="s">
        <v>11</v>
      </c>
      <c r="N1" s="130" t="s">
        <v>12</v>
      </c>
      <c r="O1" s="132" t="s">
        <v>13</v>
      </c>
      <c r="P1" s="134" t="s">
        <v>14</v>
      </c>
      <c r="Q1" s="134" t="s">
        <v>15</v>
      </c>
      <c r="R1" s="134" t="s">
        <v>16</v>
      </c>
      <c r="S1" s="136" t="s">
        <v>17</v>
      </c>
      <c r="T1" s="130" t="s">
        <v>18</v>
      </c>
      <c r="U1" s="134" t="s">
        <v>19</v>
      </c>
      <c r="V1" s="130" t="s">
        <v>20</v>
      </c>
      <c r="W1" s="132" t="s">
        <v>21</v>
      </c>
      <c r="X1" s="134" t="s">
        <v>22</v>
      </c>
      <c r="Y1" s="139" t="s">
        <v>23</v>
      </c>
      <c r="Z1" s="132" t="s">
        <v>24</v>
      </c>
      <c r="AA1" s="134" t="s">
        <v>25</v>
      </c>
      <c r="AB1" s="128" t="s">
        <v>26</v>
      </c>
      <c r="AC1" s="128" t="s">
        <v>27</v>
      </c>
      <c r="AD1" s="134" t="s">
        <v>28</v>
      </c>
      <c r="AE1" s="132" t="s">
        <v>29</v>
      </c>
      <c r="AF1" s="128" t="s">
        <v>30</v>
      </c>
      <c r="AG1" s="139" t="s">
        <v>31</v>
      </c>
      <c r="AH1" s="134" t="s">
        <v>32</v>
      </c>
      <c r="AI1" s="136" t="s">
        <v>33</v>
      </c>
      <c r="AJ1" s="136" t="s">
        <v>34</v>
      </c>
      <c r="AK1" s="130" t="s">
        <v>35</v>
      </c>
      <c r="AL1" s="120" t="s">
        <v>42</v>
      </c>
      <c r="AM1" s="120"/>
      <c r="AN1" s="120"/>
      <c r="AO1" s="120" t="s">
        <v>45</v>
      </c>
      <c r="AP1" s="120"/>
      <c r="AQ1" s="121"/>
    </row>
    <row r="2" spans="1:43" s="2" customFormat="1" ht="30" customHeight="1" x14ac:dyDescent="0.25">
      <c r="A2" s="123"/>
      <c r="B2" s="125"/>
      <c r="C2" s="125"/>
      <c r="D2" s="125"/>
      <c r="E2" s="127"/>
      <c r="F2" s="127"/>
      <c r="G2" s="127"/>
      <c r="H2" s="129"/>
      <c r="I2" s="131"/>
      <c r="J2" s="133"/>
      <c r="K2" s="133"/>
      <c r="L2" s="131"/>
      <c r="M2" s="131"/>
      <c r="N2" s="131"/>
      <c r="O2" s="133"/>
      <c r="P2" s="135"/>
      <c r="Q2" s="135"/>
      <c r="R2" s="135"/>
      <c r="S2" s="137"/>
      <c r="T2" s="131"/>
      <c r="U2" s="135"/>
      <c r="V2" s="131"/>
      <c r="W2" s="133"/>
      <c r="X2" s="135"/>
      <c r="Y2" s="140"/>
      <c r="Z2" s="133"/>
      <c r="AA2" s="135"/>
      <c r="AB2" s="129"/>
      <c r="AC2" s="129"/>
      <c r="AD2" s="135"/>
      <c r="AE2" s="133"/>
      <c r="AF2" s="129"/>
      <c r="AG2" s="140"/>
      <c r="AH2" s="135"/>
      <c r="AI2" s="137"/>
      <c r="AJ2" s="137"/>
      <c r="AK2" s="138"/>
      <c r="AL2" s="36" t="s">
        <v>43</v>
      </c>
      <c r="AM2" s="36" t="s">
        <v>44</v>
      </c>
      <c r="AN2" s="36" t="s">
        <v>41</v>
      </c>
      <c r="AO2" s="36" t="s">
        <v>43</v>
      </c>
      <c r="AP2" s="36" t="s">
        <v>44</v>
      </c>
      <c r="AQ2" s="79" t="s">
        <v>41</v>
      </c>
    </row>
    <row r="3" spans="1:43" ht="20.100000000000001" customHeight="1" x14ac:dyDescent="0.25">
      <c r="A3" s="41">
        <v>1</v>
      </c>
      <c r="B3" s="46"/>
      <c r="C3" s="46"/>
      <c r="D3" s="46"/>
      <c r="E3" s="47"/>
      <c r="F3" s="47"/>
      <c r="G3" s="4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42">
        <f t="shared" ref="AL3:AL66" si="0">COUNTIF($H3:$AK3,1)</f>
        <v>0</v>
      </c>
      <c r="AM3" s="43">
        <f t="shared" ref="AM3:AM66" si="1">COUNTIF($H3:$AK3,0)</f>
        <v>0</v>
      </c>
      <c r="AN3" s="43">
        <f>SUM(AL3:AM3)</f>
        <v>0</v>
      </c>
      <c r="AO3" s="44" t="e">
        <f>(AL3/AN3)*100</f>
        <v>#DIV/0!</v>
      </c>
      <c r="AP3" s="44" t="e">
        <f>(AM3/AN3)*100</f>
        <v>#DIV/0!</v>
      </c>
      <c r="AQ3" s="45" t="e">
        <f>SUM(AO3:AP3)</f>
        <v>#DIV/0!</v>
      </c>
    </row>
    <row r="4" spans="1:43" ht="20.100000000000001" customHeight="1" x14ac:dyDescent="0.25">
      <c r="A4" s="8">
        <v>2</v>
      </c>
      <c r="B4" s="48"/>
      <c r="C4" s="48"/>
      <c r="D4" s="48"/>
      <c r="E4" s="49"/>
      <c r="F4" s="49"/>
      <c r="G4" s="49"/>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40">
        <f t="shared" si="0"/>
        <v>0</v>
      </c>
      <c r="AM4" s="37">
        <f t="shared" si="1"/>
        <v>0</v>
      </c>
      <c r="AN4" s="37">
        <f t="shared" ref="AN4:AN67" si="2">SUM(AL4:AM4)</f>
        <v>0</v>
      </c>
      <c r="AO4" s="38" t="e">
        <f t="shared" ref="AO4:AO67" si="3">(AL4/AN4)*100</f>
        <v>#DIV/0!</v>
      </c>
      <c r="AP4" s="38" t="e">
        <f t="shared" ref="AP4:AP67" si="4">(AM4/AN4)*100</f>
        <v>#DIV/0!</v>
      </c>
      <c r="AQ4" s="39" t="e">
        <f t="shared" ref="AQ4:AQ67" si="5">SUM(AO4:AP4)</f>
        <v>#DIV/0!</v>
      </c>
    </row>
    <row r="5" spans="1:43" ht="20.100000000000001" customHeight="1" x14ac:dyDescent="0.25">
      <c r="A5" s="8">
        <v>3</v>
      </c>
      <c r="B5" s="48"/>
      <c r="C5" s="48"/>
      <c r="D5" s="48"/>
      <c r="E5" s="49"/>
      <c r="F5" s="49"/>
      <c r="G5" s="49"/>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40">
        <f t="shared" si="0"/>
        <v>0</v>
      </c>
      <c r="AM5" s="37">
        <f t="shared" si="1"/>
        <v>0</v>
      </c>
      <c r="AN5" s="37">
        <f t="shared" si="2"/>
        <v>0</v>
      </c>
      <c r="AO5" s="38" t="e">
        <f t="shared" si="3"/>
        <v>#DIV/0!</v>
      </c>
      <c r="AP5" s="38" t="e">
        <f t="shared" si="4"/>
        <v>#DIV/0!</v>
      </c>
      <c r="AQ5" s="39" t="e">
        <f t="shared" si="5"/>
        <v>#DIV/0!</v>
      </c>
    </row>
    <row r="6" spans="1:43" ht="20.100000000000001" customHeight="1" x14ac:dyDescent="0.25">
      <c r="A6" s="8">
        <v>4</v>
      </c>
      <c r="B6" s="48"/>
      <c r="C6" s="48"/>
      <c r="D6" s="48"/>
      <c r="E6" s="49"/>
      <c r="F6" s="49"/>
      <c r="G6" s="49"/>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40">
        <f t="shared" si="0"/>
        <v>0</v>
      </c>
      <c r="AM6" s="37">
        <f t="shared" si="1"/>
        <v>0</v>
      </c>
      <c r="AN6" s="37">
        <f t="shared" si="2"/>
        <v>0</v>
      </c>
      <c r="AO6" s="38" t="e">
        <f t="shared" si="3"/>
        <v>#DIV/0!</v>
      </c>
      <c r="AP6" s="38" t="e">
        <f t="shared" si="4"/>
        <v>#DIV/0!</v>
      </c>
      <c r="AQ6" s="39" t="e">
        <f t="shared" si="5"/>
        <v>#DIV/0!</v>
      </c>
    </row>
    <row r="7" spans="1:43" ht="20.100000000000001" customHeight="1" x14ac:dyDescent="0.25">
      <c r="A7" s="8">
        <v>5</v>
      </c>
      <c r="B7" s="48"/>
      <c r="C7" s="48"/>
      <c r="D7" s="48"/>
      <c r="E7" s="49"/>
      <c r="F7" s="49"/>
      <c r="G7" s="49"/>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40">
        <f t="shared" si="0"/>
        <v>0</v>
      </c>
      <c r="AM7" s="37">
        <f t="shared" si="1"/>
        <v>0</v>
      </c>
      <c r="AN7" s="37">
        <f t="shared" si="2"/>
        <v>0</v>
      </c>
      <c r="AO7" s="38" t="e">
        <f t="shared" si="3"/>
        <v>#DIV/0!</v>
      </c>
      <c r="AP7" s="38" t="e">
        <f t="shared" si="4"/>
        <v>#DIV/0!</v>
      </c>
      <c r="AQ7" s="39" t="e">
        <f t="shared" si="5"/>
        <v>#DIV/0!</v>
      </c>
    </row>
    <row r="8" spans="1:43" ht="20.100000000000001" customHeight="1" x14ac:dyDescent="0.25">
      <c r="A8" s="8">
        <v>6</v>
      </c>
      <c r="B8" s="48"/>
      <c r="C8" s="48"/>
      <c r="D8" s="48"/>
      <c r="E8" s="49"/>
      <c r="F8" s="49"/>
      <c r="G8" s="49"/>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40">
        <f t="shared" si="0"/>
        <v>0</v>
      </c>
      <c r="AM8" s="37">
        <f t="shared" si="1"/>
        <v>0</v>
      </c>
      <c r="AN8" s="37">
        <f t="shared" si="2"/>
        <v>0</v>
      </c>
      <c r="AO8" s="38" t="e">
        <f t="shared" si="3"/>
        <v>#DIV/0!</v>
      </c>
      <c r="AP8" s="38" t="e">
        <f t="shared" si="4"/>
        <v>#DIV/0!</v>
      </c>
      <c r="AQ8" s="39" t="e">
        <f t="shared" si="5"/>
        <v>#DIV/0!</v>
      </c>
    </row>
    <row r="9" spans="1:43" ht="20.100000000000001" customHeight="1" x14ac:dyDescent="0.25">
      <c r="A9" s="8">
        <v>7</v>
      </c>
      <c r="B9" s="48"/>
      <c r="C9" s="48"/>
      <c r="D9" s="48"/>
      <c r="E9" s="49"/>
      <c r="F9" s="49"/>
      <c r="G9" s="49"/>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40">
        <f t="shared" si="0"/>
        <v>0</v>
      </c>
      <c r="AM9" s="37">
        <f t="shared" si="1"/>
        <v>0</v>
      </c>
      <c r="AN9" s="37">
        <f t="shared" si="2"/>
        <v>0</v>
      </c>
      <c r="AO9" s="38" t="e">
        <f t="shared" si="3"/>
        <v>#DIV/0!</v>
      </c>
      <c r="AP9" s="38" t="e">
        <f t="shared" si="4"/>
        <v>#DIV/0!</v>
      </c>
      <c r="AQ9" s="39" t="e">
        <f t="shared" si="5"/>
        <v>#DIV/0!</v>
      </c>
    </row>
    <row r="10" spans="1:43" ht="20.100000000000001" customHeight="1" x14ac:dyDescent="0.25">
      <c r="A10" s="8">
        <v>8</v>
      </c>
      <c r="B10" s="48"/>
      <c r="C10" s="48"/>
      <c r="D10" s="48"/>
      <c r="E10" s="49"/>
      <c r="F10" s="49"/>
      <c r="G10" s="49"/>
      <c r="H10" s="88"/>
      <c r="I10" s="88"/>
      <c r="J10" s="88"/>
      <c r="K10" s="88"/>
      <c r="L10" s="88"/>
      <c r="M10" s="88"/>
      <c r="N10" s="88"/>
      <c r="O10" s="88"/>
      <c r="P10" s="88"/>
      <c r="Q10" s="88"/>
      <c r="R10" s="88"/>
      <c r="S10" s="88"/>
      <c r="T10" s="88"/>
      <c r="U10" s="88"/>
      <c r="V10" s="88"/>
      <c r="W10" s="88"/>
      <c r="X10" s="88"/>
      <c r="Y10" s="88"/>
      <c r="Z10" s="88"/>
      <c r="AA10" s="88"/>
      <c r="AB10" s="88"/>
      <c r="AC10" s="88"/>
      <c r="AD10" s="88"/>
      <c r="AE10" s="88"/>
      <c r="AF10" s="88"/>
      <c r="AG10" s="88"/>
      <c r="AH10" s="88"/>
      <c r="AI10" s="88"/>
      <c r="AJ10" s="88"/>
      <c r="AK10" s="88"/>
      <c r="AL10" s="40">
        <f t="shared" si="0"/>
        <v>0</v>
      </c>
      <c r="AM10" s="37">
        <f t="shared" si="1"/>
        <v>0</v>
      </c>
      <c r="AN10" s="37">
        <f t="shared" si="2"/>
        <v>0</v>
      </c>
      <c r="AO10" s="38" t="e">
        <f t="shared" si="3"/>
        <v>#DIV/0!</v>
      </c>
      <c r="AP10" s="38" t="e">
        <f t="shared" si="4"/>
        <v>#DIV/0!</v>
      </c>
      <c r="AQ10" s="39" t="e">
        <f t="shared" si="5"/>
        <v>#DIV/0!</v>
      </c>
    </row>
    <row r="11" spans="1:43" ht="20.100000000000001" customHeight="1" x14ac:dyDescent="0.25">
      <c r="A11" s="8">
        <v>9</v>
      </c>
      <c r="B11" s="48"/>
      <c r="C11" s="48"/>
      <c r="D11" s="48"/>
      <c r="E11" s="49"/>
      <c r="F11" s="49"/>
      <c r="G11" s="49"/>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40">
        <f t="shared" si="0"/>
        <v>0</v>
      </c>
      <c r="AM11" s="37">
        <f t="shared" si="1"/>
        <v>0</v>
      </c>
      <c r="AN11" s="37">
        <f t="shared" si="2"/>
        <v>0</v>
      </c>
      <c r="AO11" s="38" t="e">
        <f t="shared" si="3"/>
        <v>#DIV/0!</v>
      </c>
      <c r="AP11" s="38" t="e">
        <f t="shared" si="4"/>
        <v>#DIV/0!</v>
      </c>
      <c r="AQ11" s="39" t="e">
        <f t="shared" si="5"/>
        <v>#DIV/0!</v>
      </c>
    </row>
    <row r="12" spans="1:43" ht="20.100000000000001" customHeight="1" x14ac:dyDescent="0.25">
      <c r="A12" s="8">
        <v>10</v>
      </c>
      <c r="B12" s="48"/>
      <c r="C12" s="48"/>
      <c r="D12" s="48"/>
      <c r="E12" s="49"/>
      <c r="F12" s="49"/>
      <c r="G12" s="49"/>
      <c r="H12" s="88"/>
      <c r="I12" s="88"/>
      <c r="J12" s="88"/>
      <c r="K12" s="88"/>
      <c r="L12" s="88"/>
      <c r="M12" s="88"/>
      <c r="N12" s="88"/>
      <c r="O12" s="88"/>
      <c r="P12" s="88"/>
      <c r="Q12" s="88"/>
      <c r="R12" s="88"/>
      <c r="S12" s="88"/>
      <c r="T12" s="88"/>
      <c r="U12" s="88"/>
      <c r="V12" s="88"/>
      <c r="W12" s="88"/>
      <c r="X12" s="88"/>
      <c r="Y12" s="88"/>
      <c r="Z12" s="88"/>
      <c r="AA12" s="88"/>
      <c r="AB12" s="88"/>
      <c r="AC12" s="88"/>
      <c r="AD12" s="88"/>
      <c r="AE12" s="88"/>
      <c r="AF12" s="88"/>
      <c r="AG12" s="88"/>
      <c r="AH12" s="88"/>
      <c r="AI12" s="88"/>
      <c r="AJ12" s="88"/>
      <c r="AK12" s="88"/>
      <c r="AL12" s="40">
        <f t="shared" si="0"/>
        <v>0</v>
      </c>
      <c r="AM12" s="37">
        <f t="shared" si="1"/>
        <v>0</v>
      </c>
      <c r="AN12" s="37">
        <f t="shared" si="2"/>
        <v>0</v>
      </c>
      <c r="AO12" s="38" t="e">
        <f t="shared" si="3"/>
        <v>#DIV/0!</v>
      </c>
      <c r="AP12" s="38" t="e">
        <f t="shared" si="4"/>
        <v>#DIV/0!</v>
      </c>
      <c r="AQ12" s="39" t="e">
        <f t="shared" si="5"/>
        <v>#DIV/0!</v>
      </c>
    </row>
    <row r="13" spans="1:43" ht="20.100000000000001" customHeight="1" x14ac:dyDescent="0.25">
      <c r="A13" s="8">
        <v>11</v>
      </c>
      <c r="B13" s="48"/>
      <c r="C13" s="48"/>
      <c r="D13" s="48"/>
      <c r="E13" s="49"/>
      <c r="F13" s="49"/>
      <c r="G13" s="49"/>
      <c r="H13" s="88"/>
      <c r="I13" s="88"/>
      <c r="J13" s="88"/>
      <c r="K13" s="88"/>
      <c r="L13" s="88"/>
      <c r="M13" s="88"/>
      <c r="N13" s="88"/>
      <c r="O13" s="88"/>
      <c r="P13" s="88"/>
      <c r="Q13" s="88"/>
      <c r="R13" s="88"/>
      <c r="S13" s="88"/>
      <c r="T13" s="88"/>
      <c r="U13" s="88"/>
      <c r="V13" s="88"/>
      <c r="W13" s="88"/>
      <c r="X13" s="88"/>
      <c r="Y13" s="88"/>
      <c r="Z13" s="88"/>
      <c r="AA13" s="88"/>
      <c r="AB13" s="88"/>
      <c r="AC13" s="88"/>
      <c r="AD13" s="88"/>
      <c r="AE13" s="88"/>
      <c r="AF13" s="88"/>
      <c r="AG13" s="88"/>
      <c r="AH13" s="88"/>
      <c r="AI13" s="88"/>
      <c r="AJ13" s="88"/>
      <c r="AK13" s="88"/>
      <c r="AL13" s="40">
        <f t="shared" si="0"/>
        <v>0</v>
      </c>
      <c r="AM13" s="37">
        <f t="shared" si="1"/>
        <v>0</v>
      </c>
      <c r="AN13" s="37">
        <f t="shared" si="2"/>
        <v>0</v>
      </c>
      <c r="AO13" s="38" t="e">
        <f t="shared" si="3"/>
        <v>#DIV/0!</v>
      </c>
      <c r="AP13" s="38" t="e">
        <f t="shared" si="4"/>
        <v>#DIV/0!</v>
      </c>
      <c r="AQ13" s="39" t="e">
        <f t="shared" si="5"/>
        <v>#DIV/0!</v>
      </c>
    </row>
    <row r="14" spans="1:43" ht="20.100000000000001" customHeight="1" x14ac:dyDescent="0.25">
      <c r="A14" s="8">
        <v>12</v>
      </c>
      <c r="B14" s="48"/>
      <c r="C14" s="48"/>
      <c r="D14" s="48"/>
      <c r="E14" s="49"/>
      <c r="F14" s="49"/>
      <c r="G14" s="49"/>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40">
        <f t="shared" si="0"/>
        <v>0</v>
      </c>
      <c r="AM14" s="37">
        <f t="shared" si="1"/>
        <v>0</v>
      </c>
      <c r="AN14" s="37">
        <f t="shared" si="2"/>
        <v>0</v>
      </c>
      <c r="AO14" s="38" t="e">
        <f t="shared" si="3"/>
        <v>#DIV/0!</v>
      </c>
      <c r="AP14" s="38" t="e">
        <f t="shared" si="4"/>
        <v>#DIV/0!</v>
      </c>
      <c r="AQ14" s="39" t="e">
        <f t="shared" si="5"/>
        <v>#DIV/0!</v>
      </c>
    </row>
    <row r="15" spans="1:43" ht="20.100000000000001" customHeight="1" x14ac:dyDescent="0.25">
      <c r="A15" s="8">
        <v>13</v>
      </c>
      <c r="B15" s="48"/>
      <c r="C15" s="48"/>
      <c r="D15" s="48"/>
      <c r="E15" s="49"/>
      <c r="F15" s="49"/>
      <c r="G15" s="49"/>
      <c r="H15" s="88"/>
      <c r="I15" s="88"/>
      <c r="J15" s="88"/>
      <c r="K15" s="88"/>
      <c r="L15" s="88"/>
      <c r="M15" s="88"/>
      <c r="N15" s="88"/>
      <c r="O15" s="88"/>
      <c r="P15" s="88"/>
      <c r="Q15" s="88"/>
      <c r="R15" s="88"/>
      <c r="S15" s="88"/>
      <c r="T15" s="88"/>
      <c r="U15" s="88"/>
      <c r="V15" s="88"/>
      <c r="W15" s="88"/>
      <c r="X15" s="88"/>
      <c r="Y15" s="88"/>
      <c r="Z15" s="88"/>
      <c r="AA15" s="88"/>
      <c r="AB15" s="88"/>
      <c r="AC15" s="88"/>
      <c r="AD15" s="88"/>
      <c r="AE15" s="88"/>
      <c r="AF15" s="88"/>
      <c r="AG15" s="88"/>
      <c r="AH15" s="88"/>
      <c r="AI15" s="88"/>
      <c r="AJ15" s="88"/>
      <c r="AK15" s="88"/>
      <c r="AL15" s="40">
        <f t="shared" si="0"/>
        <v>0</v>
      </c>
      <c r="AM15" s="37">
        <f t="shared" si="1"/>
        <v>0</v>
      </c>
      <c r="AN15" s="37">
        <f t="shared" si="2"/>
        <v>0</v>
      </c>
      <c r="AO15" s="38" t="e">
        <f t="shared" si="3"/>
        <v>#DIV/0!</v>
      </c>
      <c r="AP15" s="38" t="e">
        <f t="shared" si="4"/>
        <v>#DIV/0!</v>
      </c>
      <c r="AQ15" s="39" t="e">
        <f t="shared" si="5"/>
        <v>#DIV/0!</v>
      </c>
    </row>
    <row r="16" spans="1:43" ht="20.100000000000001" customHeight="1" x14ac:dyDescent="0.25">
      <c r="A16" s="8">
        <v>14</v>
      </c>
      <c r="B16" s="48"/>
      <c r="C16" s="48"/>
      <c r="D16" s="48"/>
      <c r="E16" s="49"/>
      <c r="F16" s="49"/>
      <c r="G16" s="49"/>
      <c r="H16" s="88"/>
      <c r="I16" s="88"/>
      <c r="J16" s="88"/>
      <c r="K16" s="88"/>
      <c r="L16" s="88"/>
      <c r="M16" s="88"/>
      <c r="N16" s="88"/>
      <c r="O16" s="88"/>
      <c r="P16" s="88"/>
      <c r="Q16" s="88"/>
      <c r="R16" s="88"/>
      <c r="S16" s="88"/>
      <c r="T16" s="88"/>
      <c r="U16" s="88"/>
      <c r="V16" s="88"/>
      <c r="W16" s="88"/>
      <c r="X16" s="88"/>
      <c r="Y16" s="88"/>
      <c r="Z16" s="88"/>
      <c r="AA16" s="88"/>
      <c r="AB16" s="88"/>
      <c r="AC16" s="88"/>
      <c r="AD16" s="88"/>
      <c r="AE16" s="88"/>
      <c r="AF16" s="88"/>
      <c r="AG16" s="88"/>
      <c r="AH16" s="88"/>
      <c r="AI16" s="88"/>
      <c r="AJ16" s="88"/>
      <c r="AK16" s="88"/>
      <c r="AL16" s="40">
        <f t="shared" si="0"/>
        <v>0</v>
      </c>
      <c r="AM16" s="37">
        <f t="shared" si="1"/>
        <v>0</v>
      </c>
      <c r="AN16" s="37">
        <f t="shared" si="2"/>
        <v>0</v>
      </c>
      <c r="AO16" s="38" t="e">
        <f t="shared" si="3"/>
        <v>#DIV/0!</v>
      </c>
      <c r="AP16" s="38" t="e">
        <f t="shared" si="4"/>
        <v>#DIV/0!</v>
      </c>
      <c r="AQ16" s="39" t="e">
        <f t="shared" si="5"/>
        <v>#DIV/0!</v>
      </c>
    </row>
    <row r="17" spans="1:43" ht="20.100000000000001" customHeight="1" x14ac:dyDescent="0.25">
      <c r="A17" s="8">
        <v>15</v>
      </c>
      <c r="B17" s="48"/>
      <c r="C17" s="48"/>
      <c r="D17" s="48"/>
      <c r="E17" s="49"/>
      <c r="F17" s="49"/>
      <c r="G17" s="49"/>
      <c r="H17" s="88"/>
      <c r="I17" s="88"/>
      <c r="J17" s="88"/>
      <c r="K17" s="88"/>
      <c r="L17" s="88"/>
      <c r="M17" s="88"/>
      <c r="N17" s="88"/>
      <c r="O17" s="88"/>
      <c r="P17" s="88"/>
      <c r="Q17" s="88"/>
      <c r="R17" s="88"/>
      <c r="S17" s="88"/>
      <c r="T17" s="88"/>
      <c r="U17" s="88"/>
      <c r="V17" s="88"/>
      <c r="W17" s="88"/>
      <c r="X17" s="88"/>
      <c r="Y17" s="88"/>
      <c r="Z17" s="88"/>
      <c r="AA17" s="88"/>
      <c r="AB17" s="88"/>
      <c r="AC17" s="88"/>
      <c r="AD17" s="88"/>
      <c r="AE17" s="88"/>
      <c r="AF17" s="88"/>
      <c r="AG17" s="88"/>
      <c r="AH17" s="88"/>
      <c r="AI17" s="88"/>
      <c r="AJ17" s="88"/>
      <c r="AK17" s="88"/>
      <c r="AL17" s="40">
        <f t="shared" si="0"/>
        <v>0</v>
      </c>
      <c r="AM17" s="37">
        <f t="shared" si="1"/>
        <v>0</v>
      </c>
      <c r="AN17" s="37">
        <f t="shared" si="2"/>
        <v>0</v>
      </c>
      <c r="AO17" s="38" t="e">
        <f t="shared" si="3"/>
        <v>#DIV/0!</v>
      </c>
      <c r="AP17" s="38" t="e">
        <f t="shared" si="4"/>
        <v>#DIV/0!</v>
      </c>
      <c r="AQ17" s="39" t="e">
        <f t="shared" si="5"/>
        <v>#DIV/0!</v>
      </c>
    </row>
    <row r="18" spans="1:43" ht="20.100000000000001" customHeight="1" x14ac:dyDescent="0.25">
      <c r="A18" s="8">
        <v>16</v>
      </c>
      <c r="B18" s="48"/>
      <c r="C18" s="48"/>
      <c r="D18" s="48"/>
      <c r="E18" s="49"/>
      <c r="F18" s="49"/>
      <c r="G18" s="49"/>
      <c r="H18" s="88"/>
      <c r="I18" s="88"/>
      <c r="J18" s="88"/>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40">
        <f t="shared" si="0"/>
        <v>0</v>
      </c>
      <c r="AM18" s="37">
        <f t="shared" si="1"/>
        <v>0</v>
      </c>
      <c r="AN18" s="37">
        <f t="shared" si="2"/>
        <v>0</v>
      </c>
      <c r="AO18" s="38" t="e">
        <f t="shared" si="3"/>
        <v>#DIV/0!</v>
      </c>
      <c r="AP18" s="38" t="e">
        <f t="shared" si="4"/>
        <v>#DIV/0!</v>
      </c>
      <c r="AQ18" s="39" t="e">
        <f t="shared" si="5"/>
        <v>#DIV/0!</v>
      </c>
    </row>
    <row r="19" spans="1:43" ht="20.100000000000001" customHeight="1" x14ac:dyDescent="0.25">
      <c r="A19" s="8">
        <v>17</v>
      </c>
      <c r="B19" s="48"/>
      <c r="C19" s="48"/>
      <c r="D19" s="48"/>
      <c r="E19" s="49"/>
      <c r="F19" s="49"/>
      <c r="G19" s="49"/>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40">
        <f t="shared" si="0"/>
        <v>0</v>
      </c>
      <c r="AM19" s="37">
        <f t="shared" si="1"/>
        <v>0</v>
      </c>
      <c r="AN19" s="37">
        <f t="shared" si="2"/>
        <v>0</v>
      </c>
      <c r="AO19" s="38" t="e">
        <f t="shared" si="3"/>
        <v>#DIV/0!</v>
      </c>
      <c r="AP19" s="38" t="e">
        <f t="shared" si="4"/>
        <v>#DIV/0!</v>
      </c>
      <c r="AQ19" s="39" t="e">
        <f t="shared" si="5"/>
        <v>#DIV/0!</v>
      </c>
    </row>
    <row r="20" spans="1:43" ht="20.100000000000001" customHeight="1" x14ac:dyDescent="0.25">
      <c r="A20" s="8">
        <v>18</v>
      </c>
      <c r="B20" s="48"/>
      <c r="C20" s="48"/>
      <c r="D20" s="48"/>
      <c r="E20" s="49"/>
      <c r="F20" s="49"/>
      <c r="G20" s="49"/>
      <c r="H20" s="88"/>
      <c r="I20" s="88"/>
      <c r="J20" s="88"/>
      <c r="K20" s="88"/>
      <c r="L20" s="88"/>
      <c r="M20" s="88"/>
      <c r="N20" s="88"/>
      <c r="O20" s="88"/>
      <c r="P20" s="88"/>
      <c r="Q20" s="88"/>
      <c r="R20" s="88"/>
      <c r="S20" s="88"/>
      <c r="T20" s="88"/>
      <c r="U20" s="88"/>
      <c r="V20" s="88"/>
      <c r="W20" s="88"/>
      <c r="X20" s="88"/>
      <c r="Y20" s="88"/>
      <c r="Z20" s="88"/>
      <c r="AA20" s="88"/>
      <c r="AB20" s="88"/>
      <c r="AC20" s="88"/>
      <c r="AD20" s="88"/>
      <c r="AE20" s="88"/>
      <c r="AF20" s="88"/>
      <c r="AG20" s="88"/>
      <c r="AH20" s="88"/>
      <c r="AI20" s="88"/>
      <c r="AJ20" s="88"/>
      <c r="AK20" s="88"/>
      <c r="AL20" s="40">
        <f t="shared" si="0"/>
        <v>0</v>
      </c>
      <c r="AM20" s="37">
        <f t="shared" si="1"/>
        <v>0</v>
      </c>
      <c r="AN20" s="37">
        <f t="shared" si="2"/>
        <v>0</v>
      </c>
      <c r="AO20" s="38" t="e">
        <f t="shared" si="3"/>
        <v>#DIV/0!</v>
      </c>
      <c r="AP20" s="38" t="e">
        <f t="shared" si="4"/>
        <v>#DIV/0!</v>
      </c>
      <c r="AQ20" s="39" t="e">
        <f t="shared" si="5"/>
        <v>#DIV/0!</v>
      </c>
    </row>
    <row r="21" spans="1:43" ht="20.100000000000001" customHeight="1" x14ac:dyDescent="0.25">
      <c r="A21" s="8">
        <v>19</v>
      </c>
      <c r="B21" s="48"/>
      <c r="C21" s="48"/>
      <c r="D21" s="48"/>
      <c r="E21" s="49"/>
      <c r="F21" s="49"/>
      <c r="G21" s="49"/>
      <c r="H21" s="88"/>
      <c r="I21" s="88"/>
      <c r="J21" s="88"/>
      <c r="K21" s="88"/>
      <c r="L21" s="88"/>
      <c r="M21" s="88"/>
      <c r="N21" s="88"/>
      <c r="O21" s="88"/>
      <c r="P21" s="88"/>
      <c r="Q21" s="88"/>
      <c r="R21" s="88"/>
      <c r="S21" s="88"/>
      <c r="T21" s="88"/>
      <c r="U21" s="88"/>
      <c r="V21" s="88"/>
      <c r="W21" s="88"/>
      <c r="X21" s="88"/>
      <c r="Y21" s="88"/>
      <c r="Z21" s="88"/>
      <c r="AA21" s="88"/>
      <c r="AB21" s="88"/>
      <c r="AC21" s="88"/>
      <c r="AD21" s="88"/>
      <c r="AE21" s="88"/>
      <c r="AF21" s="88"/>
      <c r="AG21" s="88"/>
      <c r="AH21" s="88"/>
      <c r="AI21" s="88"/>
      <c r="AJ21" s="88"/>
      <c r="AK21" s="88"/>
      <c r="AL21" s="40">
        <f t="shared" si="0"/>
        <v>0</v>
      </c>
      <c r="AM21" s="37">
        <f t="shared" si="1"/>
        <v>0</v>
      </c>
      <c r="AN21" s="37">
        <f t="shared" si="2"/>
        <v>0</v>
      </c>
      <c r="AO21" s="38" t="e">
        <f t="shared" si="3"/>
        <v>#DIV/0!</v>
      </c>
      <c r="AP21" s="38" t="e">
        <f t="shared" si="4"/>
        <v>#DIV/0!</v>
      </c>
      <c r="AQ21" s="39" t="e">
        <f t="shared" si="5"/>
        <v>#DIV/0!</v>
      </c>
    </row>
    <row r="22" spans="1:43" ht="20.100000000000001" customHeight="1" x14ac:dyDescent="0.25">
      <c r="A22" s="8">
        <v>20</v>
      </c>
      <c r="B22" s="48"/>
      <c r="C22" s="48"/>
      <c r="D22" s="48"/>
      <c r="E22" s="49"/>
      <c r="F22" s="49"/>
      <c r="G22" s="49"/>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40">
        <f t="shared" si="0"/>
        <v>0</v>
      </c>
      <c r="AM22" s="37">
        <f t="shared" si="1"/>
        <v>0</v>
      </c>
      <c r="AN22" s="37">
        <f t="shared" si="2"/>
        <v>0</v>
      </c>
      <c r="AO22" s="38" t="e">
        <f t="shared" si="3"/>
        <v>#DIV/0!</v>
      </c>
      <c r="AP22" s="38" t="e">
        <f t="shared" si="4"/>
        <v>#DIV/0!</v>
      </c>
      <c r="AQ22" s="39" t="e">
        <f t="shared" si="5"/>
        <v>#DIV/0!</v>
      </c>
    </row>
    <row r="23" spans="1:43" ht="20.100000000000001" customHeight="1" x14ac:dyDescent="0.25">
      <c r="A23" s="8">
        <v>21</v>
      </c>
      <c r="B23" s="48"/>
      <c r="C23" s="48"/>
      <c r="D23" s="48"/>
      <c r="E23" s="49"/>
      <c r="F23" s="49"/>
      <c r="G23" s="49"/>
      <c r="H23" s="88"/>
      <c r="I23" s="88"/>
      <c r="J23" s="88"/>
      <c r="K23" s="88"/>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40">
        <f t="shared" si="0"/>
        <v>0</v>
      </c>
      <c r="AM23" s="37">
        <f t="shared" si="1"/>
        <v>0</v>
      </c>
      <c r="AN23" s="37">
        <f t="shared" si="2"/>
        <v>0</v>
      </c>
      <c r="AO23" s="38" t="e">
        <f t="shared" si="3"/>
        <v>#DIV/0!</v>
      </c>
      <c r="AP23" s="38" t="e">
        <f t="shared" si="4"/>
        <v>#DIV/0!</v>
      </c>
      <c r="AQ23" s="39" t="e">
        <f t="shared" si="5"/>
        <v>#DIV/0!</v>
      </c>
    </row>
    <row r="24" spans="1:43" ht="20.100000000000001" customHeight="1" x14ac:dyDescent="0.25">
      <c r="A24" s="8">
        <v>22</v>
      </c>
      <c r="B24" s="48"/>
      <c r="C24" s="48"/>
      <c r="D24" s="48"/>
      <c r="E24" s="49"/>
      <c r="F24" s="49"/>
      <c r="G24" s="49"/>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40">
        <f t="shared" si="0"/>
        <v>0</v>
      </c>
      <c r="AM24" s="37">
        <f t="shared" si="1"/>
        <v>0</v>
      </c>
      <c r="AN24" s="37">
        <f t="shared" si="2"/>
        <v>0</v>
      </c>
      <c r="AO24" s="38" t="e">
        <f t="shared" si="3"/>
        <v>#DIV/0!</v>
      </c>
      <c r="AP24" s="38" t="e">
        <f t="shared" si="4"/>
        <v>#DIV/0!</v>
      </c>
      <c r="AQ24" s="39" t="e">
        <f t="shared" si="5"/>
        <v>#DIV/0!</v>
      </c>
    </row>
    <row r="25" spans="1:43" ht="20.100000000000001" customHeight="1" x14ac:dyDescent="0.25">
      <c r="A25" s="8">
        <v>23</v>
      </c>
      <c r="B25" s="48"/>
      <c r="C25" s="48"/>
      <c r="D25" s="48"/>
      <c r="E25" s="49"/>
      <c r="F25" s="49"/>
      <c r="G25" s="49"/>
      <c r="H25" s="88"/>
      <c r="I25" s="88"/>
      <c r="J25" s="88"/>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40">
        <f t="shared" si="0"/>
        <v>0</v>
      </c>
      <c r="AM25" s="37">
        <f t="shared" si="1"/>
        <v>0</v>
      </c>
      <c r="AN25" s="37">
        <f t="shared" si="2"/>
        <v>0</v>
      </c>
      <c r="AO25" s="38" t="e">
        <f t="shared" si="3"/>
        <v>#DIV/0!</v>
      </c>
      <c r="AP25" s="38" t="e">
        <f t="shared" si="4"/>
        <v>#DIV/0!</v>
      </c>
      <c r="AQ25" s="39" t="e">
        <f t="shared" si="5"/>
        <v>#DIV/0!</v>
      </c>
    </row>
    <row r="26" spans="1:43" ht="20.100000000000001" customHeight="1" x14ac:dyDescent="0.25">
      <c r="A26" s="8">
        <v>24</v>
      </c>
      <c r="B26" s="48"/>
      <c r="C26" s="48"/>
      <c r="D26" s="48"/>
      <c r="E26" s="49"/>
      <c r="F26" s="49"/>
      <c r="G26" s="49"/>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40">
        <f t="shared" si="0"/>
        <v>0</v>
      </c>
      <c r="AM26" s="37">
        <f t="shared" si="1"/>
        <v>0</v>
      </c>
      <c r="AN26" s="37">
        <f t="shared" si="2"/>
        <v>0</v>
      </c>
      <c r="AO26" s="38" t="e">
        <f t="shared" si="3"/>
        <v>#DIV/0!</v>
      </c>
      <c r="AP26" s="38" t="e">
        <f t="shared" si="4"/>
        <v>#DIV/0!</v>
      </c>
      <c r="AQ26" s="39" t="e">
        <f t="shared" si="5"/>
        <v>#DIV/0!</v>
      </c>
    </row>
    <row r="27" spans="1:43" ht="20.100000000000001" customHeight="1" x14ac:dyDescent="0.25">
      <c r="A27" s="8">
        <v>25</v>
      </c>
      <c r="B27" s="48"/>
      <c r="C27" s="48"/>
      <c r="D27" s="48"/>
      <c r="E27" s="49"/>
      <c r="F27" s="49"/>
      <c r="G27" s="49"/>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40">
        <f t="shared" si="0"/>
        <v>0</v>
      </c>
      <c r="AM27" s="37">
        <f t="shared" si="1"/>
        <v>0</v>
      </c>
      <c r="AN27" s="37">
        <f t="shared" si="2"/>
        <v>0</v>
      </c>
      <c r="AO27" s="38" t="e">
        <f t="shared" si="3"/>
        <v>#DIV/0!</v>
      </c>
      <c r="AP27" s="38" t="e">
        <f t="shared" si="4"/>
        <v>#DIV/0!</v>
      </c>
      <c r="AQ27" s="39" t="e">
        <f t="shared" si="5"/>
        <v>#DIV/0!</v>
      </c>
    </row>
    <row r="28" spans="1:43" ht="20.100000000000001" customHeight="1" x14ac:dyDescent="0.25">
      <c r="A28" s="8">
        <v>26</v>
      </c>
      <c r="B28" s="48"/>
      <c r="C28" s="48"/>
      <c r="D28" s="48"/>
      <c r="E28" s="49"/>
      <c r="F28" s="49"/>
      <c r="G28" s="49"/>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40">
        <f t="shared" si="0"/>
        <v>0</v>
      </c>
      <c r="AM28" s="37">
        <f t="shared" si="1"/>
        <v>0</v>
      </c>
      <c r="AN28" s="37">
        <f t="shared" si="2"/>
        <v>0</v>
      </c>
      <c r="AO28" s="38" t="e">
        <f t="shared" si="3"/>
        <v>#DIV/0!</v>
      </c>
      <c r="AP28" s="38" t="e">
        <f t="shared" si="4"/>
        <v>#DIV/0!</v>
      </c>
      <c r="AQ28" s="39" t="e">
        <f t="shared" si="5"/>
        <v>#DIV/0!</v>
      </c>
    </row>
    <row r="29" spans="1:43" ht="20.100000000000001" customHeight="1" x14ac:dyDescent="0.25">
      <c r="A29" s="8">
        <v>27</v>
      </c>
      <c r="B29" s="48"/>
      <c r="C29" s="48"/>
      <c r="D29" s="48"/>
      <c r="E29" s="49"/>
      <c r="F29" s="49"/>
      <c r="G29" s="49"/>
      <c r="H29" s="88"/>
      <c r="I29" s="88"/>
      <c r="J29" s="88"/>
      <c r="K29" s="88"/>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40">
        <f t="shared" si="0"/>
        <v>0</v>
      </c>
      <c r="AM29" s="37">
        <f t="shared" si="1"/>
        <v>0</v>
      </c>
      <c r="AN29" s="37">
        <f t="shared" si="2"/>
        <v>0</v>
      </c>
      <c r="AO29" s="38" t="e">
        <f t="shared" si="3"/>
        <v>#DIV/0!</v>
      </c>
      <c r="AP29" s="38" t="e">
        <f t="shared" si="4"/>
        <v>#DIV/0!</v>
      </c>
      <c r="AQ29" s="39" t="e">
        <f t="shared" si="5"/>
        <v>#DIV/0!</v>
      </c>
    </row>
    <row r="30" spans="1:43" ht="20.100000000000001" customHeight="1" x14ac:dyDescent="0.25">
      <c r="A30" s="8">
        <v>28</v>
      </c>
      <c r="B30" s="48"/>
      <c r="C30" s="48"/>
      <c r="D30" s="48"/>
      <c r="E30" s="49"/>
      <c r="F30" s="49"/>
      <c r="G30" s="49"/>
      <c r="H30" s="88"/>
      <c r="I30" s="88"/>
      <c r="J30" s="88"/>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40">
        <f t="shared" si="0"/>
        <v>0</v>
      </c>
      <c r="AM30" s="37">
        <f t="shared" si="1"/>
        <v>0</v>
      </c>
      <c r="AN30" s="37">
        <f t="shared" si="2"/>
        <v>0</v>
      </c>
      <c r="AO30" s="38" t="e">
        <f t="shared" si="3"/>
        <v>#DIV/0!</v>
      </c>
      <c r="AP30" s="38" t="e">
        <f t="shared" si="4"/>
        <v>#DIV/0!</v>
      </c>
      <c r="AQ30" s="39" t="e">
        <f t="shared" si="5"/>
        <v>#DIV/0!</v>
      </c>
    </row>
    <row r="31" spans="1:43" ht="20.100000000000001" customHeight="1" x14ac:dyDescent="0.25">
      <c r="A31" s="8">
        <v>29</v>
      </c>
      <c r="B31" s="48"/>
      <c r="C31" s="48"/>
      <c r="D31" s="48"/>
      <c r="E31" s="49"/>
      <c r="F31" s="49"/>
      <c r="G31" s="49"/>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40">
        <f t="shared" si="0"/>
        <v>0</v>
      </c>
      <c r="AM31" s="37">
        <f t="shared" si="1"/>
        <v>0</v>
      </c>
      <c r="AN31" s="37">
        <f t="shared" si="2"/>
        <v>0</v>
      </c>
      <c r="AO31" s="38" t="e">
        <f t="shared" si="3"/>
        <v>#DIV/0!</v>
      </c>
      <c r="AP31" s="38" t="e">
        <f t="shared" si="4"/>
        <v>#DIV/0!</v>
      </c>
      <c r="AQ31" s="39" t="e">
        <f t="shared" si="5"/>
        <v>#DIV/0!</v>
      </c>
    </row>
    <row r="32" spans="1:43" ht="20.100000000000001" customHeight="1" x14ac:dyDescent="0.25">
      <c r="A32" s="8">
        <v>30</v>
      </c>
      <c r="B32" s="48"/>
      <c r="C32" s="48"/>
      <c r="D32" s="48"/>
      <c r="E32" s="49"/>
      <c r="F32" s="49"/>
      <c r="G32" s="49"/>
      <c r="H32" s="88"/>
      <c r="I32" s="88"/>
      <c r="J32" s="88"/>
      <c r="K32" s="88"/>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40">
        <f t="shared" si="0"/>
        <v>0</v>
      </c>
      <c r="AM32" s="37">
        <f t="shared" si="1"/>
        <v>0</v>
      </c>
      <c r="AN32" s="37">
        <f t="shared" si="2"/>
        <v>0</v>
      </c>
      <c r="AO32" s="38" t="e">
        <f t="shared" si="3"/>
        <v>#DIV/0!</v>
      </c>
      <c r="AP32" s="38" t="e">
        <f t="shared" si="4"/>
        <v>#DIV/0!</v>
      </c>
      <c r="AQ32" s="39" t="e">
        <f t="shared" si="5"/>
        <v>#DIV/0!</v>
      </c>
    </row>
    <row r="33" spans="1:43" ht="20.100000000000001" customHeight="1" x14ac:dyDescent="0.25">
      <c r="A33" s="8">
        <v>31</v>
      </c>
      <c r="B33" s="48"/>
      <c r="C33" s="48"/>
      <c r="D33" s="48"/>
      <c r="E33" s="49"/>
      <c r="F33" s="49"/>
      <c r="G33" s="49"/>
      <c r="H33" s="88"/>
      <c r="I33" s="88"/>
      <c r="J33" s="88"/>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40">
        <f t="shared" si="0"/>
        <v>0</v>
      </c>
      <c r="AM33" s="37">
        <f t="shared" si="1"/>
        <v>0</v>
      </c>
      <c r="AN33" s="37">
        <f t="shared" si="2"/>
        <v>0</v>
      </c>
      <c r="AO33" s="38" t="e">
        <f t="shared" si="3"/>
        <v>#DIV/0!</v>
      </c>
      <c r="AP33" s="38" t="e">
        <f t="shared" si="4"/>
        <v>#DIV/0!</v>
      </c>
      <c r="AQ33" s="39" t="e">
        <f t="shared" si="5"/>
        <v>#DIV/0!</v>
      </c>
    </row>
    <row r="34" spans="1:43" ht="20.100000000000001" customHeight="1" x14ac:dyDescent="0.25">
      <c r="A34" s="8">
        <v>32</v>
      </c>
      <c r="B34" s="48"/>
      <c r="C34" s="48"/>
      <c r="D34" s="48"/>
      <c r="E34" s="49"/>
      <c r="F34" s="49"/>
      <c r="G34" s="49"/>
      <c r="H34" s="88"/>
      <c r="I34" s="88"/>
      <c r="J34" s="88"/>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40">
        <f t="shared" si="0"/>
        <v>0</v>
      </c>
      <c r="AM34" s="37">
        <f t="shared" si="1"/>
        <v>0</v>
      </c>
      <c r="AN34" s="37">
        <f t="shared" si="2"/>
        <v>0</v>
      </c>
      <c r="AO34" s="38" t="e">
        <f t="shared" si="3"/>
        <v>#DIV/0!</v>
      </c>
      <c r="AP34" s="38" t="e">
        <f t="shared" si="4"/>
        <v>#DIV/0!</v>
      </c>
      <c r="AQ34" s="39" t="e">
        <f t="shared" si="5"/>
        <v>#DIV/0!</v>
      </c>
    </row>
    <row r="35" spans="1:43" ht="20.100000000000001" customHeight="1" x14ac:dyDescent="0.25">
      <c r="A35" s="8">
        <v>33</v>
      </c>
      <c r="B35" s="48"/>
      <c r="C35" s="48"/>
      <c r="D35" s="48"/>
      <c r="E35" s="49"/>
      <c r="F35" s="49"/>
      <c r="G35" s="49"/>
      <c r="H35" s="88"/>
      <c r="I35" s="88"/>
      <c r="J35" s="88"/>
      <c r="K35" s="88"/>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40">
        <f t="shared" si="0"/>
        <v>0</v>
      </c>
      <c r="AM35" s="37">
        <f t="shared" si="1"/>
        <v>0</v>
      </c>
      <c r="AN35" s="37">
        <f t="shared" si="2"/>
        <v>0</v>
      </c>
      <c r="AO35" s="38" t="e">
        <f t="shared" si="3"/>
        <v>#DIV/0!</v>
      </c>
      <c r="AP35" s="38" t="e">
        <f t="shared" si="4"/>
        <v>#DIV/0!</v>
      </c>
      <c r="AQ35" s="39" t="e">
        <f t="shared" si="5"/>
        <v>#DIV/0!</v>
      </c>
    </row>
    <row r="36" spans="1:43" ht="20.100000000000001" customHeight="1" x14ac:dyDescent="0.25">
      <c r="A36" s="8">
        <v>34</v>
      </c>
      <c r="B36" s="48"/>
      <c r="C36" s="48"/>
      <c r="D36" s="48"/>
      <c r="E36" s="49"/>
      <c r="F36" s="49"/>
      <c r="G36" s="49"/>
      <c r="H36" s="88"/>
      <c r="I36" s="88"/>
      <c r="J36" s="88"/>
      <c r="K36" s="88"/>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40">
        <f t="shared" si="0"/>
        <v>0</v>
      </c>
      <c r="AM36" s="37">
        <f t="shared" si="1"/>
        <v>0</v>
      </c>
      <c r="AN36" s="37">
        <f t="shared" si="2"/>
        <v>0</v>
      </c>
      <c r="AO36" s="38" t="e">
        <f t="shared" si="3"/>
        <v>#DIV/0!</v>
      </c>
      <c r="AP36" s="38" t="e">
        <f t="shared" si="4"/>
        <v>#DIV/0!</v>
      </c>
      <c r="AQ36" s="39" t="e">
        <f t="shared" si="5"/>
        <v>#DIV/0!</v>
      </c>
    </row>
    <row r="37" spans="1:43" ht="20.100000000000001" customHeight="1" x14ac:dyDescent="0.25">
      <c r="A37" s="8">
        <v>35</v>
      </c>
      <c r="B37" s="48"/>
      <c r="C37" s="48"/>
      <c r="D37" s="48"/>
      <c r="E37" s="49"/>
      <c r="F37" s="49"/>
      <c r="G37" s="49"/>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40">
        <f t="shared" si="0"/>
        <v>0</v>
      </c>
      <c r="AM37" s="37">
        <f t="shared" si="1"/>
        <v>0</v>
      </c>
      <c r="AN37" s="37">
        <f t="shared" si="2"/>
        <v>0</v>
      </c>
      <c r="AO37" s="38" t="e">
        <f t="shared" si="3"/>
        <v>#DIV/0!</v>
      </c>
      <c r="AP37" s="38" t="e">
        <f t="shared" si="4"/>
        <v>#DIV/0!</v>
      </c>
      <c r="AQ37" s="39" t="e">
        <f t="shared" si="5"/>
        <v>#DIV/0!</v>
      </c>
    </row>
    <row r="38" spans="1:43" ht="20.100000000000001" customHeight="1" x14ac:dyDescent="0.25">
      <c r="A38" s="8">
        <v>36</v>
      </c>
      <c r="B38" s="48"/>
      <c r="C38" s="48"/>
      <c r="D38" s="48"/>
      <c r="E38" s="49"/>
      <c r="F38" s="49"/>
      <c r="G38" s="49"/>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40">
        <f t="shared" si="0"/>
        <v>0</v>
      </c>
      <c r="AM38" s="37">
        <f t="shared" si="1"/>
        <v>0</v>
      </c>
      <c r="AN38" s="37">
        <f t="shared" si="2"/>
        <v>0</v>
      </c>
      <c r="AO38" s="38" t="e">
        <f t="shared" si="3"/>
        <v>#DIV/0!</v>
      </c>
      <c r="AP38" s="38" t="e">
        <f t="shared" si="4"/>
        <v>#DIV/0!</v>
      </c>
      <c r="AQ38" s="39" t="e">
        <f t="shared" si="5"/>
        <v>#DIV/0!</v>
      </c>
    </row>
    <row r="39" spans="1:43" ht="20.100000000000001" customHeight="1" x14ac:dyDescent="0.25">
      <c r="A39" s="8">
        <v>37</v>
      </c>
      <c r="B39" s="48"/>
      <c r="C39" s="48"/>
      <c r="D39" s="48"/>
      <c r="E39" s="49"/>
      <c r="F39" s="49"/>
      <c r="G39" s="49"/>
      <c r="H39" s="88"/>
      <c r="I39" s="88"/>
      <c r="J39" s="88"/>
      <c r="K39" s="88"/>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40">
        <f t="shared" si="0"/>
        <v>0</v>
      </c>
      <c r="AM39" s="37">
        <f t="shared" si="1"/>
        <v>0</v>
      </c>
      <c r="AN39" s="37">
        <f t="shared" si="2"/>
        <v>0</v>
      </c>
      <c r="AO39" s="38" t="e">
        <f t="shared" si="3"/>
        <v>#DIV/0!</v>
      </c>
      <c r="AP39" s="38" t="e">
        <f t="shared" si="4"/>
        <v>#DIV/0!</v>
      </c>
      <c r="AQ39" s="39" t="e">
        <f t="shared" si="5"/>
        <v>#DIV/0!</v>
      </c>
    </row>
    <row r="40" spans="1:43" ht="20.100000000000001" customHeight="1" x14ac:dyDescent="0.25">
      <c r="A40" s="8">
        <v>38</v>
      </c>
      <c r="B40" s="48"/>
      <c r="C40" s="48"/>
      <c r="D40" s="48"/>
      <c r="E40" s="49"/>
      <c r="F40" s="49"/>
      <c r="G40" s="49"/>
      <c r="H40" s="88"/>
      <c r="I40" s="88"/>
      <c r="J40" s="88"/>
      <c r="K40" s="88"/>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40">
        <f t="shared" si="0"/>
        <v>0</v>
      </c>
      <c r="AM40" s="37">
        <f t="shared" si="1"/>
        <v>0</v>
      </c>
      <c r="AN40" s="37">
        <f t="shared" si="2"/>
        <v>0</v>
      </c>
      <c r="AO40" s="38" t="e">
        <f t="shared" si="3"/>
        <v>#DIV/0!</v>
      </c>
      <c r="AP40" s="38" t="e">
        <f t="shared" si="4"/>
        <v>#DIV/0!</v>
      </c>
      <c r="AQ40" s="39" t="e">
        <f t="shared" si="5"/>
        <v>#DIV/0!</v>
      </c>
    </row>
    <row r="41" spans="1:43" ht="20.100000000000001" customHeight="1" x14ac:dyDescent="0.25">
      <c r="A41" s="8">
        <v>39</v>
      </c>
      <c r="B41" s="48"/>
      <c r="C41" s="48"/>
      <c r="D41" s="48"/>
      <c r="E41" s="49"/>
      <c r="F41" s="49"/>
      <c r="G41" s="49"/>
      <c r="H41" s="88"/>
      <c r="I41" s="88"/>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40">
        <f t="shared" si="0"/>
        <v>0</v>
      </c>
      <c r="AM41" s="37">
        <f t="shared" si="1"/>
        <v>0</v>
      </c>
      <c r="AN41" s="37">
        <f t="shared" si="2"/>
        <v>0</v>
      </c>
      <c r="AO41" s="38" t="e">
        <f t="shared" si="3"/>
        <v>#DIV/0!</v>
      </c>
      <c r="AP41" s="38" t="e">
        <f t="shared" si="4"/>
        <v>#DIV/0!</v>
      </c>
      <c r="AQ41" s="39" t="e">
        <f t="shared" si="5"/>
        <v>#DIV/0!</v>
      </c>
    </row>
    <row r="42" spans="1:43" ht="20.100000000000001" customHeight="1" x14ac:dyDescent="0.25">
      <c r="A42" s="8">
        <v>40</v>
      </c>
      <c r="B42" s="48"/>
      <c r="C42" s="48"/>
      <c r="D42" s="48"/>
      <c r="E42" s="49"/>
      <c r="F42" s="49"/>
      <c r="G42" s="49"/>
      <c r="H42" s="88"/>
      <c r="I42" s="88"/>
      <c r="J42" s="88"/>
      <c r="K42" s="88"/>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40">
        <f t="shared" si="0"/>
        <v>0</v>
      </c>
      <c r="AM42" s="37">
        <f t="shared" si="1"/>
        <v>0</v>
      </c>
      <c r="AN42" s="37">
        <f t="shared" si="2"/>
        <v>0</v>
      </c>
      <c r="AO42" s="38" t="e">
        <f t="shared" si="3"/>
        <v>#DIV/0!</v>
      </c>
      <c r="AP42" s="38" t="e">
        <f t="shared" si="4"/>
        <v>#DIV/0!</v>
      </c>
      <c r="AQ42" s="39" t="e">
        <f t="shared" si="5"/>
        <v>#DIV/0!</v>
      </c>
    </row>
    <row r="43" spans="1:43" ht="20.100000000000001" customHeight="1" x14ac:dyDescent="0.25">
      <c r="A43" s="8">
        <v>41</v>
      </c>
      <c r="B43" s="48"/>
      <c r="C43" s="48"/>
      <c r="D43" s="48"/>
      <c r="E43" s="49"/>
      <c r="F43" s="49"/>
      <c r="G43" s="49"/>
      <c r="H43" s="88"/>
      <c r="I43" s="88"/>
      <c r="J43" s="88"/>
      <c r="K43" s="88"/>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40">
        <f t="shared" si="0"/>
        <v>0</v>
      </c>
      <c r="AM43" s="37">
        <f t="shared" si="1"/>
        <v>0</v>
      </c>
      <c r="AN43" s="37">
        <f t="shared" si="2"/>
        <v>0</v>
      </c>
      <c r="AO43" s="38" t="e">
        <f t="shared" si="3"/>
        <v>#DIV/0!</v>
      </c>
      <c r="AP43" s="38" t="e">
        <f t="shared" si="4"/>
        <v>#DIV/0!</v>
      </c>
      <c r="AQ43" s="39" t="e">
        <f t="shared" si="5"/>
        <v>#DIV/0!</v>
      </c>
    </row>
    <row r="44" spans="1:43" ht="20.100000000000001" customHeight="1" x14ac:dyDescent="0.25">
      <c r="A44" s="8">
        <v>42</v>
      </c>
      <c r="B44" s="48"/>
      <c r="C44" s="48"/>
      <c r="D44" s="48"/>
      <c r="E44" s="49"/>
      <c r="F44" s="49"/>
      <c r="G44" s="49"/>
      <c r="H44" s="88"/>
      <c r="I44" s="88"/>
      <c r="J44" s="88"/>
      <c r="K44" s="88"/>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40">
        <f t="shared" si="0"/>
        <v>0</v>
      </c>
      <c r="AM44" s="37">
        <f t="shared" si="1"/>
        <v>0</v>
      </c>
      <c r="AN44" s="37">
        <f t="shared" si="2"/>
        <v>0</v>
      </c>
      <c r="AO44" s="38" t="e">
        <f t="shared" si="3"/>
        <v>#DIV/0!</v>
      </c>
      <c r="AP44" s="38" t="e">
        <f t="shared" si="4"/>
        <v>#DIV/0!</v>
      </c>
      <c r="AQ44" s="39" t="e">
        <f t="shared" si="5"/>
        <v>#DIV/0!</v>
      </c>
    </row>
    <row r="45" spans="1:43" ht="20.100000000000001" customHeight="1" x14ac:dyDescent="0.25">
      <c r="A45" s="8">
        <v>43</v>
      </c>
      <c r="B45" s="48"/>
      <c r="C45" s="48"/>
      <c r="D45" s="48"/>
      <c r="E45" s="49"/>
      <c r="F45" s="49"/>
      <c r="G45" s="49"/>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40">
        <f t="shared" si="0"/>
        <v>0</v>
      </c>
      <c r="AM45" s="37">
        <f t="shared" si="1"/>
        <v>0</v>
      </c>
      <c r="AN45" s="37">
        <f t="shared" si="2"/>
        <v>0</v>
      </c>
      <c r="AO45" s="38" t="e">
        <f t="shared" si="3"/>
        <v>#DIV/0!</v>
      </c>
      <c r="AP45" s="38" t="e">
        <f t="shared" si="4"/>
        <v>#DIV/0!</v>
      </c>
      <c r="AQ45" s="39" t="e">
        <f t="shared" si="5"/>
        <v>#DIV/0!</v>
      </c>
    </row>
    <row r="46" spans="1:43" ht="20.100000000000001" customHeight="1" x14ac:dyDescent="0.25">
      <c r="A46" s="8">
        <v>44</v>
      </c>
      <c r="B46" s="48"/>
      <c r="C46" s="48"/>
      <c r="D46" s="48"/>
      <c r="E46" s="49"/>
      <c r="F46" s="49"/>
      <c r="G46" s="49"/>
      <c r="H46" s="88"/>
      <c r="I46" s="88"/>
      <c r="J46" s="88"/>
      <c r="K46" s="88"/>
      <c r="L46" s="88"/>
      <c r="M46" s="88"/>
      <c r="N46" s="88"/>
      <c r="O46" s="88"/>
      <c r="P46" s="88"/>
      <c r="Q46" s="88"/>
      <c r="R46" s="88"/>
      <c r="S46" s="88"/>
      <c r="T46" s="88"/>
      <c r="U46" s="88"/>
      <c r="V46" s="88"/>
      <c r="W46" s="88"/>
      <c r="X46" s="88"/>
      <c r="Y46" s="88"/>
      <c r="Z46" s="88"/>
      <c r="AA46" s="88"/>
      <c r="AB46" s="88"/>
      <c r="AC46" s="88"/>
      <c r="AD46" s="88"/>
      <c r="AE46" s="88"/>
      <c r="AF46" s="88"/>
      <c r="AG46" s="88"/>
      <c r="AH46" s="88"/>
      <c r="AI46" s="88"/>
      <c r="AJ46" s="88"/>
      <c r="AK46" s="88"/>
      <c r="AL46" s="40">
        <f t="shared" si="0"/>
        <v>0</v>
      </c>
      <c r="AM46" s="37">
        <f t="shared" si="1"/>
        <v>0</v>
      </c>
      <c r="AN46" s="37">
        <f t="shared" si="2"/>
        <v>0</v>
      </c>
      <c r="AO46" s="38" t="e">
        <f t="shared" si="3"/>
        <v>#DIV/0!</v>
      </c>
      <c r="AP46" s="38" t="e">
        <f t="shared" si="4"/>
        <v>#DIV/0!</v>
      </c>
      <c r="AQ46" s="39" t="e">
        <f t="shared" si="5"/>
        <v>#DIV/0!</v>
      </c>
    </row>
    <row r="47" spans="1:43" ht="20.100000000000001" customHeight="1" x14ac:dyDescent="0.25">
      <c r="A47" s="8">
        <v>45</v>
      </c>
      <c r="B47" s="48"/>
      <c r="C47" s="48"/>
      <c r="D47" s="48"/>
      <c r="E47" s="49"/>
      <c r="F47" s="49"/>
      <c r="G47" s="49"/>
      <c r="H47" s="88"/>
      <c r="I47" s="88"/>
      <c r="J47" s="88"/>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40">
        <f t="shared" si="0"/>
        <v>0</v>
      </c>
      <c r="AM47" s="37">
        <f t="shared" si="1"/>
        <v>0</v>
      </c>
      <c r="AN47" s="37">
        <f t="shared" si="2"/>
        <v>0</v>
      </c>
      <c r="AO47" s="38" t="e">
        <f t="shared" si="3"/>
        <v>#DIV/0!</v>
      </c>
      <c r="AP47" s="38" t="e">
        <f t="shared" si="4"/>
        <v>#DIV/0!</v>
      </c>
      <c r="AQ47" s="39" t="e">
        <f t="shared" si="5"/>
        <v>#DIV/0!</v>
      </c>
    </row>
    <row r="48" spans="1:43" ht="20.100000000000001" customHeight="1" x14ac:dyDescent="0.25">
      <c r="A48" s="8">
        <v>46</v>
      </c>
      <c r="B48" s="48"/>
      <c r="C48" s="48"/>
      <c r="D48" s="48"/>
      <c r="E48" s="49"/>
      <c r="F48" s="49"/>
      <c r="G48" s="49"/>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8"/>
      <c r="AL48" s="40">
        <f t="shared" si="0"/>
        <v>0</v>
      </c>
      <c r="AM48" s="37">
        <f t="shared" si="1"/>
        <v>0</v>
      </c>
      <c r="AN48" s="37">
        <f t="shared" si="2"/>
        <v>0</v>
      </c>
      <c r="AO48" s="38" t="e">
        <f t="shared" si="3"/>
        <v>#DIV/0!</v>
      </c>
      <c r="AP48" s="38" t="e">
        <f t="shared" si="4"/>
        <v>#DIV/0!</v>
      </c>
      <c r="AQ48" s="39" t="e">
        <f t="shared" si="5"/>
        <v>#DIV/0!</v>
      </c>
    </row>
    <row r="49" spans="1:43" ht="20.100000000000001" customHeight="1" x14ac:dyDescent="0.25">
      <c r="A49" s="8">
        <v>47</v>
      </c>
      <c r="B49" s="48"/>
      <c r="C49" s="48"/>
      <c r="D49" s="48"/>
      <c r="E49" s="49"/>
      <c r="F49" s="49"/>
      <c r="G49" s="49"/>
      <c r="H49" s="88"/>
      <c r="I49" s="88"/>
      <c r="J49" s="88"/>
      <c r="K49" s="88"/>
      <c r="L49" s="88"/>
      <c r="M49" s="88"/>
      <c r="N49" s="88"/>
      <c r="O49" s="88"/>
      <c r="P49" s="88"/>
      <c r="Q49" s="88"/>
      <c r="R49" s="88"/>
      <c r="S49" s="88"/>
      <c r="T49" s="88"/>
      <c r="U49" s="88"/>
      <c r="V49" s="88"/>
      <c r="W49" s="88"/>
      <c r="X49" s="88"/>
      <c r="Y49" s="88"/>
      <c r="Z49" s="88"/>
      <c r="AA49" s="88"/>
      <c r="AB49" s="88"/>
      <c r="AC49" s="88"/>
      <c r="AD49" s="88"/>
      <c r="AE49" s="88"/>
      <c r="AF49" s="88"/>
      <c r="AG49" s="88"/>
      <c r="AH49" s="88"/>
      <c r="AI49" s="88"/>
      <c r="AJ49" s="88"/>
      <c r="AK49" s="88"/>
      <c r="AL49" s="40">
        <f t="shared" si="0"/>
        <v>0</v>
      </c>
      <c r="AM49" s="37">
        <f t="shared" si="1"/>
        <v>0</v>
      </c>
      <c r="AN49" s="37">
        <f t="shared" si="2"/>
        <v>0</v>
      </c>
      <c r="AO49" s="38" t="e">
        <f t="shared" si="3"/>
        <v>#DIV/0!</v>
      </c>
      <c r="AP49" s="38" t="e">
        <f t="shared" si="4"/>
        <v>#DIV/0!</v>
      </c>
      <c r="AQ49" s="39" t="e">
        <f t="shared" si="5"/>
        <v>#DIV/0!</v>
      </c>
    </row>
    <row r="50" spans="1:43" ht="20.100000000000001" customHeight="1" x14ac:dyDescent="0.25">
      <c r="A50" s="8">
        <v>48</v>
      </c>
      <c r="B50" s="48"/>
      <c r="C50" s="48"/>
      <c r="D50" s="48"/>
      <c r="E50" s="49"/>
      <c r="F50" s="49"/>
      <c r="G50" s="49"/>
      <c r="H50" s="88"/>
      <c r="I50" s="88"/>
      <c r="J50" s="88"/>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40">
        <f t="shared" si="0"/>
        <v>0</v>
      </c>
      <c r="AM50" s="37">
        <f t="shared" si="1"/>
        <v>0</v>
      </c>
      <c r="AN50" s="37">
        <f t="shared" si="2"/>
        <v>0</v>
      </c>
      <c r="AO50" s="38" t="e">
        <f t="shared" si="3"/>
        <v>#DIV/0!</v>
      </c>
      <c r="AP50" s="38" t="e">
        <f t="shared" si="4"/>
        <v>#DIV/0!</v>
      </c>
      <c r="AQ50" s="39" t="e">
        <f t="shared" si="5"/>
        <v>#DIV/0!</v>
      </c>
    </row>
    <row r="51" spans="1:43" ht="20.100000000000001" customHeight="1" x14ac:dyDescent="0.25">
      <c r="A51" s="8">
        <v>49</v>
      </c>
      <c r="B51" s="48"/>
      <c r="C51" s="48"/>
      <c r="D51" s="48"/>
      <c r="E51" s="49"/>
      <c r="F51" s="49"/>
      <c r="G51" s="49"/>
      <c r="H51" s="88"/>
      <c r="I51" s="88"/>
      <c r="J51" s="88"/>
      <c r="K51" s="88"/>
      <c r="L51" s="88"/>
      <c r="M51" s="88"/>
      <c r="N51" s="88"/>
      <c r="O51" s="88"/>
      <c r="P51" s="88"/>
      <c r="Q51" s="88"/>
      <c r="R51" s="88"/>
      <c r="S51" s="88"/>
      <c r="T51" s="88"/>
      <c r="U51" s="88"/>
      <c r="V51" s="88"/>
      <c r="W51" s="88"/>
      <c r="X51" s="88"/>
      <c r="Y51" s="88"/>
      <c r="Z51" s="88"/>
      <c r="AA51" s="88"/>
      <c r="AB51" s="88"/>
      <c r="AC51" s="88"/>
      <c r="AD51" s="88"/>
      <c r="AE51" s="88"/>
      <c r="AF51" s="88"/>
      <c r="AG51" s="88"/>
      <c r="AH51" s="88"/>
      <c r="AI51" s="88"/>
      <c r="AJ51" s="88"/>
      <c r="AK51" s="88"/>
      <c r="AL51" s="40">
        <f t="shared" si="0"/>
        <v>0</v>
      </c>
      <c r="AM51" s="37">
        <f t="shared" si="1"/>
        <v>0</v>
      </c>
      <c r="AN51" s="37">
        <f t="shared" si="2"/>
        <v>0</v>
      </c>
      <c r="AO51" s="38" t="e">
        <f t="shared" si="3"/>
        <v>#DIV/0!</v>
      </c>
      <c r="AP51" s="38" t="e">
        <f t="shared" si="4"/>
        <v>#DIV/0!</v>
      </c>
      <c r="AQ51" s="39" t="e">
        <f t="shared" si="5"/>
        <v>#DIV/0!</v>
      </c>
    </row>
    <row r="52" spans="1:43" ht="20.100000000000001" customHeight="1" x14ac:dyDescent="0.25">
      <c r="A52" s="8">
        <v>50</v>
      </c>
      <c r="B52" s="48"/>
      <c r="C52" s="48"/>
      <c r="D52" s="48"/>
      <c r="E52" s="49"/>
      <c r="F52" s="49"/>
      <c r="G52" s="49"/>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8"/>
      <c r="AK52" s="88"/>
      <c r="AL52" s="40">
        <f t="shared" si="0"/>
        <v>0</v>
      </c>
      <c r="AM52" s="37">
        <f t="shared" si="1"/>
        <v>0</v>
      </c>
      <c r="AN52" s="37">
        <f t="shared" si="2"/>
        <v>0</v>
      </c>
      <c r="AO52" s="38" t="e">
        <f t="shared" si="3"/>
        <v>#DIV/0!</v>
      </c>
      <c r="AP52" s="38" t="e">
        <f t="shared" si="4"/>
        <v>#DIV/0!</v>
      </c>
      <c r="AQ52" s="39" t="e">
        <f t="shared" si="5"/>
        <v>#DIV/0!</v>
      </c>
    </row>
    <row r="53" spans="1:43" ht="20.100000000000001" customHeight="1" x14ac:dyDescent="0.25">
      <c r="A53" s="8">
        <v>51</v>
      </c>
      <c r="B53" s="48"/>
      <c r="C53" s="48"/>
      <c r="D53" s="48"/>
      <c r="E53" s="49"/>
      <c r="F53" s="49"/>
      <c r="G53" s="49"/>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40">
        <f t="shared" si="0"/>
        <v>0</v>
      </c>
      <c r="AM53" s="37">
        <f t="shared" si="1"/>
        <v>0</v>
      </c>
      <c r="AN53" s="37">
        <f t="shared" si="2"/>
        <v>0</v>
      </c>
      <c r="AO53" s="38" t="e">
        <f t="shared" si="3"/>
        <v>#DIV/0!</v>
      </c>
      <c r="AP53" s="38" t="e">
        <f t="shared" si="4"/>
        <v>#DIV/0!</v>
      </c>
      <c r="AQ53" s="39" t="e">
        <f t="shared" si="5"/>
        <v>#DIV/0!</v>
      </c>
    </row>
    <row r="54" spans="1:43" ht="20.100000000000001" customHeight="1" x14ac:dyDescent="0.25">
      <c r="A54" s="8">
        <v>52</v>
      </c>
      <c r="B54" s="48"/>
      <c r="C54" s="48"/>
      <c r="D54" s="48"/>
      <c r="E54" s="49"/>
      <c r="F54" s="49"/>
      <c r="G54" s="49"/>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8"/>
      <c r="AK54" s="88"/>
      <c r="AL54" s="40">
        <f t="shared" si="0"/>
        <v>0</v>
      </c>
      <c r="AM54" s="37">
        <f t="shared" si="1"/>
        <v>0</v>
      </c>
      <c r="AN54" s="37">
        <f t="shared" si="2"/>
        <v>0</v>
      </c>
      <c r="AO54" s="38" t="e">
        <f t="shared" si="3"/>
        <v>#DIV/0!</v>
      </c>
      <c r="AP54" s="38" t="e">
        <f t="shared" si="4"/>
        <v>#DIV/0!</v>
      </c>
      <c r="AQ54" s="39" t="e">
        <f t="shared" si="5"/>
        <v>#DIV/0!</v>
      </c>
    </row>
    <row r="55" spans="1:43" ht="20.100000000000001" customHeight="1" x14ac:dyDescent="0.25">
      <c r="A55" s="8">
        <v>53</v>
      </c>
      <c r="B55" s="48"/>
      <c r="C55" s="48"/>
      <c r="D55" s="48"/>
      <c r="E55" s="49"/>
      <c r="F55" s="49"/>
      <c r="G55" s="49"/>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8"/>
      <c r="AK55" s="88"/>
      <c r="AL55" s="40">
        <f t="shared" si="0"/>
        <v>0</v>
      </c>
      <c r="AM55" s="37">
        <f t="shared" si="1"/>
        <v>0</v>
      </c>
      <c r="AN55" s="37">
        <f t="shared" si="2"/>
        <v>0</v>
      </c>
      <c r="AO55" s="38" t="e">
        <f t="shared" si="3"/>
        <v>#DIV/0!</v>
      </c>
      <c r="AP55" s="38" t="e">
        <f t="shared" si="4"/>
        <v>#DIV/0!</v>
      </c>
      <c r="AQ55" s="39" t="e">
        <f t="shared" si="5"/>
        <v>#DIV/0!</v>
      </c>
    </row>
    <row r="56" spans="1:43" ht="20.100000000000001" customHeight="1" x14ac:dyDescent="0.25">
      <c r="A56" s="8">
        <v>54</v>
      </c>
      <c r="B56" s="48"/>
      <c r="C56" s="48"/>
      <c r="D56" s="48"/>
      <c r="E56" s="49"/>
      <c r="F56" s="49"/>
      <c r="G56" s="49"/>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40">
        <f t="shared" si="0"/>
        <v>0</v>
      </c>
      <c r="AM56" s="37">
        <f t="shared" si="1"/>
        <v>0</v>
      </c>
      <c r="AN56" s="37">
        <f t="shared" si="2"/>
        <v>0</v>
      </c>
      <c r="AO56" s="38" t="e">
        <f t="shared" si="3"/>
        <v>#DIV/0!</v>
      </c>
      <c r="AP56" s="38" t="e">
        <f t="shared" si="4"/>
        <v>#DIV/0!</v>
      </c>
      <c r="AQ56" s="39" t="e">
        <f t="shared" si="5"/>
        <v>#DIV/0!</v>
      </c>
    </row>
    <row r="57" spans="1:43" ht="20.100000000000001" customHeight="1" x14ac:dyDescent="0.25">
      <c r="A57" s="8">
        <v>55</v>
      </c>
      <c r="B57" s="48"/>
      <c r="C57" s="48"/>
      <c r="D57" s="48"/>
      <c r="E57" s="49"/>
      <c r="F57" s="49"/>
      <c r="G57" s="49"/>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40">
        <f t="shared" si="0"/>
        <v>0</v>
      </c>
      <c r="AM57" s="37">
        <f t="shared" si="1"/>
        <v>0</v>
      </c>
      <c r="AN57" s="37">
        <f t="shared" si="2"/>
        <v>0</v>
      </c>
      <c r="AO57" s="38" t="e">
        <f t="shared" si="3"/>
        <v>#DIV/0!</v>
      </c>
      <c r="AP57" s="38" t="e">
        <f t="shared" si="4"/>
        <v>#DIV/0!</v>
      </c>
      <c r="AQ57" s="39" t="e">
        <f t="shared" si="5"/>
        <v>#DIV/0!</v>
      </c>
    </row>
    <row r="58" spans="1:43" ht="20.100000000000001" customHeight="1" x14ac:dyDescent="0.25">
      <c r="A58" s="8">
        <v>56</v>
      </c>
      <c r="B58" s="48"/>
      <c r="C58" s="48"/>
      <c r="D58" s="48"/>
      <c r="E58" s="49"/>
      <c r="F58" s="49"/>
      <c r="G58" s="49"/>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8"/>
      <c r="AK58" s="88"/>
      <c r="AL58" s="40">
        <f t="shared" si="0"/>
        <v>0</v>
      </c>
      <c r="AM58" s="37">
        <f t="shared" si="1"/>
        <v>0</v>
      </c>
      <c r="AN58" s="37">
        <f t="shared" si="2"/>
        <v>0</v>
      </c>
      <c r="AO58" s="38" t="e">
        <f t="shared" si="3"/>
        <v>#DIV/0!</v>
      </c>
      <c r="AP58" s="38" t="e">
        <f t="shared" si="4"/>
        <v>#DIV/0!</v>
      </c>
      <c r="AQ58" s="39" t="e">
        <f t="shared" si="5"/>
        <v>#DIV/0!</v>
      </c>
    </row>
    <row r="59" spans="1:43" ht="20.100000000000001" customHeight="1" x14ac:dyDescent="0.25">
      <c r="A59" s="8">
        <v>57</v>
      </c>
      <c r="B59" s="48"/>
      <c r="C59" s="48"/>
      <c r="D59" s="48"/>
      <c r="E59" s="49"/>
      <c r="F59" s="49"/>
      <c r="G59" s="49"/>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8"/>
      <c r="AL59" s="40">
        <f t="shared" si="0"/>
        <v>0</v>
      </c>
      <c r="AM59" s="37">
        <f t="shared" si="1"/>
        <v>0</v>
      </c>
      <c r="AN59" s="37">
        <f t="shared" si="2"/>
        <v>0</v>
      </c>
      <c r="AO59" s="38" t="e">
        <f t="shared" si="3"/>
        <v>#DIV/0!</v>
      </c>
      <c r="AP59" s="38" t="e">
        <f t="shared" si="4"/>
        <v>#DIV/0!</v>
      </c>
      <c r="AQ59" s="39" t="e">
        <f t="shared" si="5"/>
        <v>#DIV/0!</v>
      </c>
    </row>
    <row r="60" spans="1:43" ht="20.100000000000001" customHeight="1" x14ac:dyDescent="0.25">
      <c r="A60" s="8">
        <v>58</v>
      </c>
      <c r="B60" s="48"/>
      <c r="C60" s="48"/>
      <c r="D60" s="48"/>
      <c r="E60" s="49"/>
      <c r="F60" s="49"/>
      <c r="G60" s="49"/>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40">
        <f t="shared" si="0"/>
        <v>0</v>
      </c>
      <c r="AM60" s="37">
        <f t="shared" si="1"/>
        <v>0</v>
      </c>
      <c r="AN60" s="37">
        <f t="shared" si="2"/>
        <v>0</v>
      </c>
      <c r="AO60" s="38" t="e">
        <f t="shared" si="3"/>
        <v>#DIV/0!</v>
      </c>
      <c r="AP60" s="38" t="e">
        <f t="shared" si="4"/>
        <v>#DIV/0!</v>
      </c>
      <c r="AQ60" s="39" t="e">
        <f t="shared" si="5"/>
        <v>#DIV/0!</v>
      </c>
    </row>
    <row r="61" spans="1:43" ht="20.100000000000001" customHeight="1" x14ac:dyDescent="0.25">
      <c r="A61" s="8">
        <v>59</v>
      </c>
      <c r="B61" s="48"/>
      <c r="C61" s="48"/>
      <c r="D61" s="48"/>
      <c r="E61" s="49"/>
      <c r="F61" s="49"/>
      <c r="G61" s="49"/>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8"/>
      <c r="AK61" s="88"/>
      <c r="AL61" s="40">
        <f t="shared" si="0"/>
        <v>0</v>
      </c>
      <c r="AM61" s="37">
        <f t="shared" si="1"/>
        <v>0</v>
      </c>
      <c r="AN61" s="37">
        <f t="shared" si="2"/>
        <v>0</v>
      </c>
      <c r="AO61" s="38" t="e">
        <f t="shared" si="3"/>
        <v>#DIV/0!</v>
      </c>
      <c r="AP61" s="38" t="e">
        <f t="shared" si="4"/>
        <v>#DIV/0!</v>
      </c>
      <c r="AQ61" s="39" t="e">
        <f t="shared" si="5"/>
        <v>#DIV/0!</v>
      </c>
    </row>
    <row r="62" spans="1:43" ht="20.100000000000001" customHeight="1" x14ac:dyDescent="0.25">
      <c r="A62" s="8">
        <v>60</v>
      </c>
      <c r="B62" s="48"/>
      <c r="C62" s="48"/>
      <c r="D62" s="48"/>
      <c r="E62" s="49"/>
      <c r="F62" s="49"/>
      <c r="G62" s="49"/>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8"/>
      <c r="AL62" s="40">
        <f t="shared" si="0"/>
        <v>0</v>
      </c>
      <c r="AM62" s="37">
        <f t="shared" si="1"/>
        <v>0</v>
      </c>
      <c r="AN62" s="37">
        <f t="shared" si="2"/>
        <v>0</v>
      </c>
      <c r="AO62" s="38" t="e">
        <f t="shared" si="3"/>
        <v>#DIV/0!</v>
      </c>
      <c r="AP62" s="38" t="e">
        <f t="shared" si="4"/>
        <v>#DIV/0!</v>
      </c>
      <c r="AQ62" s="39" t="e">
        <f t="shared" si="5"/>
        <v>#DIV/0!</v>
      </c>
    </row>
    <row r="63" spans="1:43" ht="20.100000000000001" customHeight="1" x14ac:dyDescent="0.25">
      <c r="A63" s="8">
        <v>61</v>
      </c>
      <c r="B63" s="48"/>
      <c r="C63" s="48"/>
      <c r="D63" s="48"/>
      <c r="E63" s="49"/>
      <c r="F63" s="49"/>
      <c r="G63" s="49"/>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40">
        <f t="shared" si="0"/>
        <v>0</v>
      </c>
      <c r="AM63" s="37">
        <f t="shared" si="1"/>
        <v>0</v>
      </c>
      <c r="AN63" s="37">
        <f t="shared" si="2"/>
        <v>0</v>
      </c>
      <c r="AO63" s="38" t="e">
        <f t="shared" si="3"/>
        <v>#DIV/0!</v>
      </c>
      <c r="AP63" s="38" t="e">
        <f t="shared" si="4"/>
        <v>#DIV/0!</v>
      </c>
      <c r="AQ63" s="39" t="e">
        <f t="shared" si="5"/>
        <v>#DIV/0!</v>
      </c>
    </row>
    <row r="64" spans="1:43" ht="20.100000000000001" customHeight="1" x14ac:dyDescent="0.25">
      <c r="A64" s="8">
        <v>62</v>
      </c>
      <c r="B64" s="48"/>
      <c r="C64" s="48"/>
      <c r="D64" s="48"/>
      <c r="E64" s="49"/>
      <c r="F64" s="49"/>
      <c r="G64" s="49"/>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40">
        <f t="shared" si="0"/>
        <v>0</v>
      </c>
      <c r="AM64" s="37">
        <f t="shared" si="1"/>
        <v>0</v>
      </c>
      <c r="AN64" s="37">
        <f t="shared" si="2"/>
        <v>0</v>
      </c>
      <c r="AO64" s="38" t="e">
        <f t="shared" si="3"/>
        <v>#DIV/0!</v>
      </c>
      <c r="AP64" s="38" t="e">
        <f t="shared" si="4"/>
        <v>#DIV/0!</v>
      </c>
      <c r="AQ64" s="39" t="e">
        <f t="shared" si="5"/>
        <v>#DIV/0!</v>
      </c>
    </row>
    <row r="65" spans="1:43" ht="20.100000000000001" customHeight="1" x14ac:dyDescent="0.25">
      <c r="A65" s="8">
        <v>63</v>
      </c>
      <c r="B65" s="48"/>
      <c r="C65" s="48"/>
      <c r="D65" s="48"/>
      <c r="E65" s="49"/>
      <c r="F65" s="49"/>
      <c r="G65" s="49"/>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40">
        <f t="shared" si="0"/>
        <v>0</v>
      </c>
      <c r="AM65" s="37">
        <f t="shared" si="1"/>
        <v>0</v>
      </c>
      <c r="AN65" s="37">
        <f t="shared" si="2"/>
        <v>0</v>
      </c>
      <c r="AO65" s="38" t="e">
        <f t="shared" si="3"/>
        <v>#DIV/0!</v>
      </c>
      <c r="AP65" s="38" t="e">
        <f t="shared" si="4"/>
        <v>#DIV/0!</v>
      </c>
      <c r="AQ65" s="39" t="e">
        <f t="shared" si="5"/>
        <v>#DIV/0!</v>
      </c>
    </row>
    <row r="66" spans="1:43" ht="20.100000000000001" customHeight="1" x14ac:dyDescent="0.25">
      <c r="A66" s="8">
        <v>64</v>
      </c>
      <c r="B66" s="48"/>
      <c r="C66" s="48"/>
      <c r="D66" s="48"/>
      <c r="E66" s="49"/>
      <c r="F66" s="49"/>
      <c r="G66" s="49"/>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8"/>
      <c r="AK66" s="88"/>
      <c r="AL66" s="40">
        <f t="shared" si="0"/>
        <v>0</v>
      </c>
      <c r="AM66" s="37">
        <f t="shared" si="1"/>
        <v>0</v>
      </c>
      <c r="AN66" s="37">
        <f t="shared" si="2"/>
        <v>0</v>
      </c>
      <c r="AO66" s="38" t="e">
        <f t="shared" si="3"/>
        <v>#DIV/0!</v>
      </c>
      <c r="AP66" s="38" t="e">
        <f t="shared" si="4"/>
        <v>#DIV/0!</v>
      </c>
      <c r="AQ66" s="39" t="e">
        <f t="shared" si="5"/>
        <v>#DIV/0!</v>
      </c>
    </row>
    <row r="67" spans="1:43" ht="20.100000000000001" customHeight="1" x14ac:dyDescent="0.25">
      <c r="A67" s="8">
        <v>65</v>
      </c>
      <c r="B67" s="48"/>
      <c r="C67" s="48"/>
      <c r="D67" s="48"/>
      <c r="E67" s="49"/>
      <c r="F67" s="49"/>
      <c r="G67" s="49"/>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40">
        <f t="shared" ref="AL67:AL130" si="6">COUNTIF($H67:$AK67,1)</f>
        <v>0</v>
      </c>
      <c r="AM67" s="37">
        <f t="shared" ref="AM67:AM130" si="7">COUNTIF($H67:$AK67,0)</f>
        <v>0</v>
      </c>
      <c r="AN67" s="37">
        <f t="shared" si="2"/>
        <v>0</v>
      </c>
      <c r="AO67" s="38" t="e">
        <f t="shared" si="3"/>
        <v>#DIV/0!</v>
      </c>
      <c r="AP67" s="38" t="e">
        <f t="shared" si="4"/>
        <v>#DIV/0!</v>
      </c>
      <c r="AQ67" s="39" t="e">
        <f t="shared" si="5"/>
        <v>#DIV/0!</v>
      </c>
    </row>
    <row r="68" spans="1:43" ht="20.100000000000001" customHeight="1" x14ac:dyDescent="0.25">
      <c r="A68" s="8">
        <v>66</v>
      </c>
      <c r="B68" s="48"/>
      <c r="C68" s="48"/>
      <c r="D68" s="48"/>
      <c r="E68" s="49"/>
      <c r="F68" s="49"/>
      <c r="G68" s="49"/>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40">
        <f t="shared" si="6"/>
        <v>0</v>
      </c>
      <c r="AM68" s="37">
        <f t="shared" si="7"/>
        <v>0</v>
      </c>
      <c r="AN68" s="37">
        <f t="shared" ref="AN68:AN131" si="8">SUM(AL68:AM68)</f>
        <v>0</v>
      </c>
      <c r="AO68" s="38" t="e">
        <f t="shared" ref="AO68:AO131" si="9">(AL68/AN68)*100</f>
        <v>#DIV/0!</v>
      </c>
      <c r="AP68" s="38" t="e">
        <f t="shared" ref="AP68:AP131" si="10">(AM68/AN68)*100</f>
        <v>#DIV/0!</v>
      </c>
      <c r="AQ68" s="39" t="e">
        <f t="shared" ref="AQ68:AQ131" si="11">SUM(AO68:AP68)</f>
        <v>#DIV/0!</v>
      </c>
    </row>
    <row r="69" spans="1:43" ht="20.100000000000001" customHeight="1" x14ac:dyDescent="0.25">
      <c r="A69" s="8">
        <v>67</v>
      </c>
      <c r="B69" s="48"/>
      <c r="C69" s="48"/>
      <c r="D69" s="48"/>
      <c r="E69" s="49"/>
      <c r="F69" s="49"/>
      <c r="G69" s="49"/>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40">
        <f t="shared" si="6"/>
        <v>0</v>
      </c>
      <c r="AM69" s="37">
        <f t="shared" si="7"/>
        <v>0</v>
      </c>
      <c r="AN69" s="37">
        <f t="shared" si="8"/>
        <v>0</v>
      </c>
      <c r="AO69" s="38" t="e">
        <f t="shared" si="9"/>
        <v>#DIV/0!</v>
      </c>
      <c r="AP69" s="38" t="e">
        <f t="shared" si="10"/>
        <v>#DIV/0!</v>
      </c>
      <c r="AQ69" s="39" t="e">
        <f t="shared" si="11"/>
        <v>#DIV/0!</v>
      </c>
    </row>
    <row r="70" spans="1:43" ht="20.100000000000001" customHeight="1" x14ac:dyDescent="0.25">
      <c r="A70" s="8">
        <v>68</v>
      </c>
      <c r="B70" s="48"/>
      <c r="C70" s="48"/>
      <c r="D70" s="48"/>
      <c r="E70" s="49"/>
      <c r="F70" s="49"/>
      <c r="G70" s="49"/>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8"/>
      <c r="AK70" s="88"/>
      <c r="AL70" s="40">
        <f t="shared" si="6"/>
        <v>0</v>
      </c>
      <c r="AM70" s="37">
        <f t="shared" si="7"/>
        <v>0</v>
      </c>
      <c r="AN70" s="37">
        <f t="shared" si="8"/>
        <v>0</v>
      </c>
      <c r="AO70" s="38" t="e">
        <f t="shared" si="9"/>
        <v>#DIV/0!</v>
      </c>
      <c r="AP70" s="38" t="e">
        <f t="shared" si="10"/>
        <v>#DIV/0!</v>
      </c>
      <c r="AQ70" s="39" t="e">
        <f t="shared" si="11"/>
        <v>#DIV/0!</v>
      </c>
    </row>
    <row r="71" spans="1:43" ht="20.100000000000001" customHeight="1" x14ac:dyDescent="0.25">
      <c r="A71" s="8">
        <v>69</v>
      </c>
      <c r="B71" s="48"/>
      <c r="C71" s="48"/>
      <c r="D71" s="48"/>
      <c r="E71" s="49"/>
      <c r="F71" s="49"/>
      <c r="G71" s="49"/>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40">
        <f t="shared" si="6"/>
        <v>0</v>
      </c>
      <c r="AM71" s="37">
        <f t="shared" si="7"/>
        <v>0</v>
      </c>
      <c r="AN71" s="37">
        <f t="shared" si="8"/>
        <v>0</v>
      </c>
      <c r="AO71" s="38" t="e">
        <f t="shared" si="9"/>
        <v>#DIV/0!</v>
      </c>
      <c r="AP71" s="38" t="e">
        <f t="shared" si="10"/>
        <v>#DIV/0!</v>
      </c>
      <c r="AQ71" s="39" t="e">
        <f t="shared" si="11"/>
        <v>#DIV/0!</v>
      </c>
    </row>
    <row r="72" spans="1:43" ht="20.100000000000001" customHeight="1" x14ac:dyDescent="0.25">
      <c r="A72" s="8">
        <v>70</v>
      </c>
      <c r="B72" s="48"/>
      <c r="C72" s="48"/>
      <c r="D72" s="48"/>
      <c r="E72" s="49"/>
      <c r="F72" s="49"/>
      <c r="G72" s="49"/>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40">
        <f t="shared" si="6"/>
        <v>0</v>
      </c>
      <c r="AM72" s="37">
        <f t="shared" si="7"/>
        <v>0</v>
      </c>
      <c r="AN72" s="37">
        <f t="shared" si="8"/>
        <v>0</v>
      </c>
      <c r="AO72" s="38" t="e">
        <f t="shared" si="9"/>
        <v>#DIV/0!</v>
      </c>
      <c r="AP72" s="38" t="e">
        <f t="shared" si="10"/>
        <v>#DIV/0!</v>
      </c>
      <c r="AQ72" s="39" t="e">
        <f t="shared" si="11"/>
        <v>#DIV/0!</v>
      </c>
    </row>
    <row r="73" spans="1:43" ht="20.100000000000001" customHeight="1" x14ac:dyDescent="0.25">
      <c r="A73" s="8">
        <v>71</v>
      </c>
      <c r="B73" s="48"/>
      <c r="C73" s="48"/>
      <c r="D73" s="48"/>
      <c r="E73" s="49"/>
      <c r="F73" s="49"/>
      <c r="G73" s="49"/>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40">
        <f t="shared" si="6"/>
        <v>0</v>
      </c>
      <c r="AM73" s="37">
        <f t="shared" si="7"/>
        <v>0</v>
      </c>
      <c r="AN73" s="37">
        <f t="shared" si="8"/>
        <v>0</v>
      </c>
      <c r="AO73" s="38" t="e">
        <f t="shared" si="9"/>
        <v>#DIV/0!</v>
      </c>
      <c r="AP73" s="38" t="e">
        <f t="shared" si="10"/>
        <v>#DIV/0!</v>
      </c>
      <c r="AQ73" s="39" t="e">
        <f t="shared" si="11"/>
        <v>#DIV/0!</v>
      </c>
    </row>
    <row r="74" spans="1:43" ht="20.100000000000001" customHeight="1" x14ac:dyDescent="0.25">
      <c r="A74" s="8">
        <v>72</v>
      </c>
      <c r="B74" s="48"/>
      <c r="C74" s="48"/>
      <c r="D74" s="48"/>
      <c r="E74" s="49"/>
      <c r="F74" s="49"/>
      <c r="G74" s="49"/>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40">
        <f t="shared" si="6"/>
        <v>0</v>
      </c>
      <c r="AM74" s="37">
        <f t="shared" si="7"/>
        <v>0</v>
      </c>
      <c r="AN74" s="37">
        <f t="shared" si="8"/>
        <v>0</v>
      </c>
      <c r="AO74" s="38" t="e">
        <f t="shared" si="9"/>
        <v>#DIV/0!</v>
      </c>
      <c r="AP74" s="38" t="e">
        <f t="shared" si="10"/>
        <v>#DIV/0!</v>
      </c>
      <c r="AQ74" s="39" t="e">
        <f t="shared" si="11"/>
        <v>#DIV/0!</v>
      </c>
    </row>
    <row r="75" spans="1:43" ht="20.100000000000001" customHeight="1" x14ac:dyDescent="0.25">
      <c r="A75" s="8">
        <v>73</v>
      </c>
      <c r="B75" s="48"/>
      <c r="C75" s="48"/>
      <c r="D75" s="48"/>
      <c r="E75" s="49"/>
      <c r="F75" s="49"/>
      <c r="G75" s="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40">
        <f t="shared" si="6"/>
        <v>0</v>
      </c>
      <c r="AM75" s="37">
        <f t="shared" si="7"/>
        <v>0</v>
      </c>
      <c r="AN75" s="37">
        <f t="shared" si="8"/>
        <v>0</v>
      </c>
      <c r="AO75" s="38" t="e">
        <f t="shared" si="9"/>
        <v>#DIV/0!</v>
      </c>
      <c r="AP75" s="38" t="e">
        <f t="shared" si="10"/>
        <v>#DIV/0!</v>
      </c>
      <c r="AQ75" s="39" t="e">
        <f t="shared" si="11"/>
        <v>#DIV/0!</v>
      </c>
    </row>
    <row r="76" spans="1:43" ht="20.100000000000001" customHeight="1" x14ac:dyDescent="0.25">
      <c r="A76" s="8">
        <v>74</v>
      </c>
      <c r="B76" s="48"/>
      <c r="C76" s="48"/>
      <c r="D76" s="48"/>
      <c r="E76" s="49"/>
      <c r="F76" s="49"/>
      <c r="G76" s="49"/>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40">
        <f t="shared" si="6"/>
        <v>0</v>
      </c>
      <c r="AM76" s="37">
        <f t="shared" si="7"/>
        <v>0</v>
      </c>
      <c r="AN76" s="37">
        <f t="shared" si="8"/>
        <v>0</v>
      </c>
      <c r="AO76" s="38" t="e">
        <f t="shared" si="9"/>
        <v>#DIV/0!</v>
      </c>
      <c r="AP76" s="38" t="e">
        <f t="shared" si="10"/>
        <v>#DIV/0!</v>
      </c>
      <c r="AQ76" s="39" t="e">
        <f t="shared" si="11"/>
        <v>#DIV/0!</v>
      </c>
    </row>
    <row r="77" spans="1:43" ht="20.100000000000001" customHeight="1" x14ac:dyDescent="0.25">
      <c r="A77" s="8">
        <v>75</v>
      </c>
      <c r="B77" s="48"/>
      <c r="C77" s="48"/>
      <c r="D77" s="48"/>
      <c r="E77" s="49"/>
      <c r="F77" s="49"/>
      <c r="G77" s="49"/>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40">
        <f t="shared" si="6"/>
        <v>0</v>
      </c>
      <c r="AM77" s="37">
        <f t="shared" si="7"/>
        <v>0</v>
      </c>
      <c r="AN77" s="37">
        <f t="shared" si="8"/>
        <v>0</v>
      </c>
      <c r="AO77" s="38" t="e">
        <f t="shared" si="9"/>
        <v>#DIV/0!</v>
      </c>
      <c r="AP77" s="38" t="e">
        <f t="shared" si="10"/>
        <v>#DIV/0!</v>
      </c>
      <c r="AQ77" s="39" t="e">
        <f t="shared" si="11"/>
        <v>#DIV/0!</v>
      </c>
    </row>
    <row r="78" spans="1:43" ht="20.100000000000001" customHeight="1" x14ac:dyDescent="0.25">
      <c r="A78" s="8">
        <v>76</v>
      </c>
      <c r="B78" s="48"/>
      <c r="C78" s="48"/>
      <c r="D78" s="48"/>
      <c r="E78" s="49"/>
      <c r="F78" s="49"/>
      <c r="G78" s="49"/>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40">
        <f t="shared" si="6"/>
        <v>0</v>
      </c>
      <c r="AM78" s="37">
        <f t="shared" si="7"/>
        <v>0</v>
      </c>
      <c r="AN78" s="37">
        <f t="shared" si="8"/>
        <v>0</v>
      </c>
      <c r="AO78" s="38" t="e">
        <f t="shared" si="9"/>
        <v>#DIV/0!</v>
      </c>
      <c r="AP78" s="38" t="e">
        <f t="shared" si="10"/>
        <v>#DIV/0!</v>
      </c>
      <c r="AQ78" s="39" t="e">
        <f t="shared" si="11"/>
        <v>#DIV/0!</v>
      </c>
    </row>
    <row r="79" spans="1:43" ht="20.100000000000001" customHeight="1" x14ac:dyDescent="0.25">
      <c r="A79" s="8">
        <v>77</v>
      </c>
      <c r="B79" s="48"/>
      <c r="C79" s="48"/>
      <c r="D79" s="48"/>
      <c r="E79" s="49"/>
      <c r="F79" s="49"/>
      <c r="G79" s="49"/>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40">
        <f t="shared" si="6"/>
        <v>0</v>
      </c>
      <c r="AM79" s="37">
        <f t="shared" si="7"/>
        <v>0</v>
      </c>
      <c r="AN79" s="37">
        <f t="shared" si="8"/>
        <v>0</v>
      </c>
      <c r="AO79" s="38" t="e">
        <f t="shared" si="9"/>
        <v>#DIV/0!</v>
      </c>
      <c r="AP79" s="38" t="e">
        <f t="shared" si="10"/>
        <v>#DIV/0!</v>
      </c>
      <c r="AQ79" s="39" t="e">
        <f t="shared" si="11"/>
        <v>#DIV/0!</v>
      </c>
    </row>
    <row r="80" spans="1:43" ht="20.100000000000001" customHeight="1" x14ac:dyDescent="0.25">
      <c r="A80" s="8">
        <v>78</v>
      </c>
      <c r="B80" s="48"/>
      <c r="C80" s="48"/>
      <c r="D80" s="48"/>
      <c r="E80" s="49"/>
      <c r="F80" s="49"/>
      <c r="G80" s="49"/>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40">
        <f t="shared" si="6"/>
        <v>0</v>
      </c>
      <c r="AM80" s="37">
        <f t="shared" si="7"/>
        <v>0</v>
      </c>
      <c r="AN80" s="37">
        <f t="shared" si="8"/>
        <v>0</v>
      </c>
      <c r="AO80" s="38" t="e">
        <f t="shared" si="9"/>
        <v>#DIV/0!</v>
      </c>
      <c r="AP80" s="38" t="e">
        <f t="shared" si="10"/>
        <v>#DIV/0!</v>
      </c>
      <c r="AQ80" s="39" t="e">
        <f t="shared" si="11"/>
        <v>#DIV/0!</v>
      </c>
    </row>
    <row r="81" spans="1:43" ht="20.100000000000001" customHeight="1" x14ac:dyDescent="0.25">
      <c r="A81" s="8">
        <v>79</v>
      </c>
      <c r="B81" s="48"/>
      <c r="C81" s="48"/>
      <c r="D81" s="48"/>
      <c r="E81" s="49"/>
      <c r="F81" s="49"/>
      <c r="G81" s="49"/>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8"/>
      <c r="AK81" s="88"/>
      <c r="AL81" s="40">
        <f t="shared" si="6"/>
        <v>0</v>
      </c>
      <c r="AM81" s="37">
        <f t="shared" si="7"/>
        <v>0</v>
      </c>
      <c r="AN81" s="37">
        <f t="shared" si="8"/>
        <v>0</v>
      </c>
      <c r="AO81" s="38" t="e">
        <f t="shared" si="9"/>
        <v>#DIV/0!</v>
      </c>
      <c r="AP81" s="38" t="e">
        <f t="shared" si="10"/>
        <v>#DIV/0!</v>
      </c>
      <c r="AQ81" s="39" t="e">
        <f t="shared" si="11"/>
        <v>#DIV/0!</v>
      </c>
    </row>
    <row r="82" spans="1:43" ht="20.100000000000001" customHeight="1" x14ac:dyDescent="0.25">
      <c r="A82" s="8">
        <v>80</v>
      </c>
      <c r="B82" s="48"/>
      <c r="C82" s="48"/>
      <c r="D82" s="48"/>
      <c r="E82" s="49"/>
      <c r="F82" s="49"/>
      <c r="G82" s="49"/>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8"/>
      <c r="AK82" s="88"/>
      <c r="AL82" s="40">
        <f t="shared" si="6"/>
        <v>0</v>
      </c>
      <c r="AM82" s="37">
        <f t="shared" si="7"/>
        <v>0</v>
      </c>
      <c r="AN82" s="37">
        <f t="shared" si="8"/>
        <v>0</v>
      </c>
      <c r="AO82" s="38" t="e">
        <f t="shared" si="9"/>
        <v>#DIV/0!</v>
      </c>
      <c r="AP82" s="38" t="e">
        <f t="shared" si="10"/>
        <v>#DIV/0!</v>
      </c>
      <c r="AQ82" s="39" t="e">
        <f t="shared" si="11"/>
        <v>#DIV/0!</v>
      </c>
    </row>
    <row r="83" spans="1:43" ht="20.100000000000001" customHeight="1" x14ac:dyDescent="0.25">
      <c r="A83" s="8">
        <v>81</v>
      </c>
      <c r="B83" s="48"/>
      <c r="C83" s="48"/>
      <c r="D83" s="48"/>
      <c r="E83" s="49"/>
      <c r="F83" s="49"/>
      <c r="G83" s="49"/>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8"/>
      <c r="AK83" s="88"/>
      <c r="AL83" s="40">
        <f t="shared" si="6"/>
        <v>0</v>
      </c>
      <c r="AM83" s="37">
        <f t="shared" si="7"/>
        <v>0</v>
      </c>
      <c r="AN83" s="37">
        <f t="shared" si="8"/>
        <v>0</v>
      </c>
      <c r="AO83" s="38" t="e">
        <f t="shared" si="9"/>
        <v>#DIV/0!</v>
      </c>
      <c r="AP83" s="38" t="e">
        <f t="shared" si="10"/>
        <v>#DIV/0!</v>
      </c>
      <c r="AQ83" s="39" t="e">
        <f t="shared" si="11"/>
        <v>#DIV/0!</v>
      </c>
    </row>
    <row r="84" spans="1:43" ht="20.100000000000001" customHeight="1" x14ac:dyDescent="0.25">
      <c r="A84" s="8">
        <v>82</v>
      </c>
      <c r="B84" s="48"/>
      <c r="C84" s="48"/>
      <c r="D84" s="48"/>
      <c r="E84" s="49"/>
      <c r="F84" s="49"/>
      <c r="G84" s="49"/>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40">
        <f t="shared" si="6"/>
        <v>0</v>
      </c>
      <c r="AM84" s="37">
        <f t="shared" si="7"/>
        <v>0</v>
      </c>
      <c r="AN84" s="37">
        <f t="shared" si="8"/>
        <v>0</v>
      </c>
      <c r="AO84" s="38" t="e">
        <f t="shared" si="9"/>
        <v>#DIV/0!</v>
      </c>
      <c r="AP84" s="38" t="e">
        <f t="shared" si="10"/>
        <v>#DIV/0!</v>
      </c>
      <c r="AQ84" s="39" t="e">
        <f t="shared" si="11"/>
        <v>#DIV/0!</v>
      </c>
    </row>
    <row r="85" spans="1:43" ht="20.100000000000001" customHeight="1" x14ac:dyDescent="0.25">
      <c r="A85" s="8">
        <v>83</v>
      </c>
      <c r="B85" s="48"/>
      <c r="C85" s="48"/>
      <c r="D85" s="48"/>
      <c r="E85" s="49"/>
      <c r="F85" s="49"/>
      <c r="G85" s="49"/>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40">
        <f t="shared" si="6"/>
        <v>0</v>
      </c>
      <c r="AM85" s="37">
        <f t="shared" si="7"/>
        <v>0</v>
      </c>
      <c r="AN85" s="37">
        <f t="shared" si="8"/>
        <v>0</v>
      </c>
      <c r="AO85" s="38" t="e">
        <f t="shared" si="9"/>
        <v>#DIV/0!</v>
      </c>
      <c r="AP85" s="38" t="e">
        <f t="shared" si="10"/>
        <v>#DIV/0!</v>
      </c>
      <c r="AQ85" s="39" t="e">
        <f t="shared" si="11"/>
        <v>#DIV/0!</v>
      </c>
    </row>
    <row r="86" spans="1:43" ht="20.100000000000001" customHeight="1" x14ac:dyDescent="0.25">
      <c r="A86" s="8">
        <v>84</v>
      </c>
      <c r="B86" s="48"/>
      <c r="C86" s="48"/>
      <c r="D86" s="48"/>
      <c r="E86" s="49"/>
      <c r="F86" s="49"/>
      <c r="G86" s="49"/>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8"/>
      <c r="AK86" s="88"/>
      <c r="AL86" s="40">
        <f t="shared" si="6"/>
        <v>0</v>
      </c>
      <c r="AM86" s="37">
        <f t="shared" si="7"/>
        <v>0</v>
      </c>
      <c r="AN86" s="37">
        <f t="shared" si="8"/>
        <v>0</v>
      </c>
      <c r="AO86" s="38" t="e">
        <f t="shared" si="9"/>
        <v>#DIV/0!</v>
      </c>
      <c r="AP86" s="38" t="e">
        <f t="shared" si="10"/>
        <v>#DIV/0!</v>
      </c>
      <c r="AQ86" s="39" t="e">
        <f t="shared" si="11"/>
        <v>#DIV/0!</v>
      </c>
    </row>
    <row r="87" spans="1:43" ht="20.100000000000001" customHeight="1" x14ac:dyDescent="0.25">
      <c r="A87" s="8">
        <v>85</v>
      </c>
      <c r="B87" s="48"/>
      <c r="C87" s="48"/>
      <c r="D87" s="48"/>
      <c r="E87" s="49"/>
      <c r="F87" s="49"/>
      <c r="G87" s="49"/>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40">
        <f t="shared" si="6"/>
        <v>0</v>
      </c>
      <c r="AM87" s="37">
        <f t="shared" si="7"/>
        <v>0</v>
      </c>
      <c r="AN87" s="37">
        <f t="shared" si="8"/>
        <v>0</v>
      </c>
      <c r="AO87" s="38" t="e">
        <f t="shared" si="9"/>
        <v>#DIV/0!</v>
      </c>
      <c r="AP87" s="38" t="e">
        <f t="shared" si="10"/>
        <v>#DIV/0!</v>
      </c>
      <c r="AQ87" s="39" t="e">
        <f t="shared" si="11"/>
        <v>#DIV/0!</v>
      </c>
    </row>
    <row r="88" spans="1:43" ht="20.100000000000001" customHeight="1" x14ac:dyDescent="0.25">
      <c r="A88" s="8">
        <v>86</v>
      </c>
      <c r="B88" s="48"/>
      <c r="C88" s="48"/>
      <c r="D88" s="48"/>
      <c r="E88" s="49"/>
      <c r="F88" s="49"/>
      <c r="G88" s="49"/>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40">
        <f t="shared" si="6"/>
        <v>0</v>
      </c>
      <c r="AM88" s="37">
        <f t="shared" si="7"/>
        <v>0</v>
      </c>
      <c r="AN88" s="37">
        <f t="shared" si="8"/>
        <v>0</v>
      </c>
      <c r="AO88" s="38" t="e">
        <f t="shared" si="9"/>
        <v>#DIV/0!</v>
      </c>
      <c r="AP88" s="38" t="e">
        <f t="shared" si="10"/>
        <v>#DIV/0!</v>
      </c>
      <c r="AQ88" s="39" t="e">
        <f t="shared" si="11"/>
        <v>#DIV/0!</v>
      </c>
    </row>
    <row r="89" spans="1:43" ht="20.100000000000001" customHeight="1" x14ac:dyDescent="0.25">
      <c r="A89" s="8">
        <v>87</v>
      </c>
      <c r="B89" s="48"/>
      <c r="C89" s="48"/>
      <c r="D89" s="48"/>
      <c r="E89" s="49"/>
      <c r="F89" s="49"/>
      <c r="G89" s="49"/>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8"/>
      <c r="AK89" s="88"/>
      <c r="AL89" s="40">
        <f t="shared" si="6"/>
        <v>0</v>
      </c>
      <c r="AM89" s="37">
        <f t="shared" si="7"/>
        <v>0</v>
      </c>
      <c r="AN89" s="37">
        <f t="shared" si="8"/>
        <v>0</v>
      </c>
      <c r="AO89" s="38" t="e">
        <f t="shared" si="9"/>
        <v>#DIV/0!</v>
      </c>
      <c r="AP89" s="38" t="e">
        <f t="shared" si="10"/>
        <v>#DIV/0!</v>
      </c>
      <c r="AQ89" s="39" t="e">
        <f t="shared" si="11"/>
        <v>#DIV/0!</v>
      </c>
    </row>
    <row r="90" spans="1:43" ht="20.100000000000001" customHeight="1" x14ac:dyDescent="0.25">
      <c r="A90" s="8">
        <v>88</v>
      </c>
      <c r="B90" s="48"/>
      <c r="C90" s="48"/>
      <c r="D90" s="48"/>
      <c r="E90" s="49"/>
      <c r="F90" s="49"/>
      <c r="G90" s="49"/>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40">
        <f t="shared" si="6"/>
        <v>0</v>
      </c>
      <c r="AM90" s="37">
        <f t="shared" si="7"/>
        <v>0</v>
      </c>
      <c r="AN90" s="37">
        <f t="shared" si="8"/>
        <v>0</v>
      </c>
      <c r="AO90" s="38" t="e">
        <f t="shared" si="9"/>
        <v>#DIV/0!</v>
      </c>
      <c r="AP90" s="38" t="e">
        <f t="shared" si="10"/>
        <v>#DIV/0!</v>
      </c>
      <c r="AQ90" s="39" t="e">
        <f t="shared" si="11"/>
        <v>#DIV/0!</v>
      </c>
    </row>
    <row r="91" spans="1:43" ht="20.100000000000001" customHeight="1" x14ac:dyDescent="0.25">
      <c r="A91" s="8">
        <v>89</v>
      </c>
      <c r="B91" s="48"/>
      <c r="C91" s="48"/>
      <c r="D91" s="48"/>
      <c r="E91" s="49"/>
      <c r="F91" s="49"/>
      <c r="G91" s="49"/>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40">
        <f t="shared" si="6"/>
        <v>0</v>
      </c>
      <c r="AM91" s="37">
        <f t="shared" si="7"/>
        <v>0</v>
      </c>
      <c r="AN91" s="37">
        <f t="shared" si="8"/>
        <v>0</v>
      </c>
      <c r="AO91" s="38" t="e">
        <f t="shared" si="9"/>
        <v>#DIV/0!</v>
      </c>
      <c r="AP91" s="38" t="e">
        <f t="shared" si="10"/>
        <v>#DIV/0!</v>
      </c>
      <c r="AQ91" s="39" t="e">
        <f t="shared" si="11"/>
        <v>#DIV/0!</v>
      </c>
    </row>
    <row r="92" spans="1:43" ht="20.100000000000001" customHeight="1" x14ac:dyDescent="0.25">
      <c r="A92" s="8">
        <v>90</v>
      </c>
      <c r="B92" s="48"/>
      <c r="C92" s="48"/>
      <c r="D92" s="48"/>
      <c r="E92" s="49"/>
      <c r="F92" s="49"/>
      <c r="G92" s="49"/>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40">
        <f t="shared" si="6"/>
        <v>0</v>
      </c>
      <c r="AM92" s="37">
        <f t="shared" si="7"/>
        <v>0</v>
      </c>
      <c r="AN92" s="37">
        <f t="shared" si="8"/>
        <v>0</v>
      </c>
      <c r="AO92" s="38" t="e">
        <f t="shared" si="9"/>
        <v>#DIV/0!</v>
      </c>
      <c r="AP92" s="38" t="e">
        <f t="shared" si="10"/>
        <v>#DIV/0!</v>
      </c>
      <c r="AQ92" s="39" t="e">
        <f t="shared" si="11"/>
        <v>#DIV/0!</v>
      </c>
    </row>
    <row r="93" spans="1:43" ht="20.100000000000001" customHeight="1" x14ac:dyDescent="0.25">
      <c r="A93" s="8">
        <v>91</v>
      </c>
      <c r="B93" s="48"/>
      <c r="C93" s="48"/>
      <c r="D93" s="48"/>
      <c r="E93" s="49"/>
      <c r="F93" s="49"/>
      <c r="G93" s="49"/>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8"/>
      <c r="AK93" s="88"/>
      <c r="AL93" s="40">
        <f t="shared" si="6"/>
        <v>0</v>
      </c>
      <c r="AM93" s="37">
        <f t="shared" si="7"/>
        <v>0</v>
      </c>
      <c r="AN93" s="37">
        <f t="shared" si="8"/>
        <v>0</v>
      </c>
      <c r="AO93" s="38" t="e">
        <f t="shared" si="9"/>
        <v>#DIV/0!</v>
      </c>
      <c r="AP93" s="38" t="e">
        <f t="shared" si="10"/>
        <v>#DIV/0!</v>
      </c>
      <c r="AQ93" s="39" t="e">
        <f t="shared" si="11"/>
        <v>#DIV/0!</v>
      </c>
    </row>
    <row r="94" spans="1:43" ht="20.100000000000001" customHeight="1" x14ac:dyDescent="0.25">
      <c r="A94" s="8">
        <v>92</v>
      </c>
      <c r="B94" s="48"/>
      <c r="C94" s="48"/>
      <c r="D94" s="48"/>
      <c r="E94" s="49"/>
      <c r="F94" s="49"/>
      <c r="G94" s="49"/>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8"/>
      <c r="AK94" s="88"/>
      <c r="AL94" s="40">
        <f t="shared" si="6"/>
        <v>0</v>
      </c>
      <c r="AM94" s="37">
        <f t="shared" si="7"/>
        <v>0</v>
      </c>
      <c r="AN94" s="37">
        <f t="shared" si="8"/>
        <v>0</v>
      </c>
      <c r="AO94" s="38" t="e">
        <f t="shared" si="9"/>
        <v>#DIV/0!</v>
      </c>
      <c r="AP94" s="38" t="e">
        <f t="shared" si="10"/>
        <v>#DIV/0!</v>
      </c>
      <c r="AQ94" s="39" t="e">
        <f t="shared" si="11"/>
        <v>#DIV/0!</v>
      </c>
    </row>
    <row r="95" spans="1:43" ht="20.100000000000001" customHeight="1" x14ac:dyDescent="0.25">
      <c r="A95" s="8">
        <v>93</v>
      </c>
      <c r="B95" s="48"/>
      <c r="C95" s="48"/>
      <c r="D95" s="48"/>
      <c r="E95" s="49"/>
      <c r="F95" s="49"/>
      <c r="G95" s="49"/>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40">
        <f t="shared" si="6"/>
        <v>0</v>
      </c>
      <c r="AM95" s="37">
        <f t="shared" si="7"/>
        <v>0</v>
      </c>
      <c r="AN95" s="37">
        <f t="shared" si="8"/>
        <v>0</v>
      </c>
      <c r="AO95" s="38" t="e">
        <f t="shared" si="9"/>
        <v>#DIV/0!</v>
      </c>
      <c r="AP95" s="38" t="e">
        <f t="shared" si="10"/>
        <v>#DIV/0!</v>
      </c>
      <c r="AQ95" s="39" t="e">
        <f t="shared" si="11"/>
        <v>#DIV/0!</v>
      </c>
    </row>
    <row r="96" spans="1:43" ht="20.100000000000001" customHeight="1" x14ac:dyDescent="0.25">
      <c r="A96" s="8">
        <v>94</v>
      </c>
      <c r="B96" s="48"/>
      <c r="C96" s="48"/>
      <c r="D96" s="48"/>
      <c r="E96" s="49"/>
      <c r="F96" s="49"/>
      <c r="G96" s="49"/>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40">
        <f t="shared" si="6"/>
        <v>0</v>
      </c>
      <c r="AM96" s="37">
        <f t="shared" si="7"/>
        <v>0</v>
      </c>
      <c r="AN96" s="37">
        <f t="shared" si="8"/>
        <v>0</v>
      </c>
      <c r="AO96" s="38" t="e">
        <f t="shared" si="9"/>
        <v>#DIV/0!</v>
      </c>
      <c r="AP96" s="38" t="e">
        <f t="shared" si="10"/>
        <v>#DIV/0!</v>
      </c>
      <c r="AQ96" s="39" t="e">
        <f t="shared" si="11"/>
        <v>#DIV/0!</v>
      </c>
    </row>
    <row r="97" spans="1:43" ht="20.100000000000001" customHeight="1" x14ac:dyDescent="0.25">
      <c r="A97" s="8">
        <v>95</v>
      </c>
      <c r="B97" s="48"/>
      <c r="C97" s="48"/>
      <c r="D97" s="48"/>
      <c r="E97" s="49"/>
      <c r="F97" s="49"/>
      <c r="G97" s="49"/>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8"/>
      <c r="AK97" s="88"/>
      <c r="AL97" s="40">
        <f t="shared" si="6"/>
        <v>0</v>
      </c>
      <c r="AM97" s="37">
        <f t="shared" si="7"/>
        <v>0</v>
      </c>
      <c r="AN97" s="37">
        <f t="shared" si="8"/>
        <v>0</v>
      </c>
      <c r="AO97" s="38" t="e">
        <f t="shared" si="9"/>
        <v>#DIV/0!</v>
      </c>
      <c r="AP97" s="38" t="e">
        <f t="shared" si="10"/>
        <v>#DIV/0!</v>
      </c>
      <c r="AQ97" s="39" t="e">
        <f t="shared" si="11"/>
        <v>#DIV/0!</v>
      </c>
    </row>
    <row r="98" spans="1:43" ht="20.100000000000001" customHeight="1" x14ac:dyDescent="0.25">
      <c r="A98" s="8">
        <v>96</v>
      </c>
      <c r="B98" s="48"/>
      <c r="C98" s="48"/>
      <c r="D98" s="48"/>
      <c r="E98" s="49"/>
      <c r="F98" s="49"/>
      <c r="G98" s="49"/>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40">
        <f t="shared" si="6"/>
        <v>0</v>
      </c>
      <c r="AM98" s="37">
        <f t="shared" si="7"/>
        <v>0</v>
      </c>
      <c r="AN98" s="37">
        <f t="shared" si="8"/>
        <v>0</v>
      </c>
      <c r="AO98" s="38" t="e">
        <f t="shared" si="9"/>
        <v>#DIV/0!</v>
      </c>
      <c r="AP98" s="38" t="e">
        <f t="shared" si="10"/>
        <v>#DIV/0!</v>
      </c>
      <c r="AQ98" s="39" t="e">
        <f t="shared" si="11"/>
        <v>#DIV/0!</v>
      </c>
    </row>
    <row r="99" spans="1:43" ht="20.100000000000001" customHeight="1" x14ac:dyDescent="0.25">
      <c r="A99" s="8">
        <v>97</v>
      </c>
      <c r="B99" s="48"/>
      <c r="C99" s="48"/>
      <c r="D99" s="48"/>
      <c r="E99" s="49"/>
      <c r="F99" s="49"/>
      <c r="G99" s="49"/>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40">
        <f t="shared" si="6"/>
        <v>0</v>
      </c>
      <c r="AM99" s="37">
        <f t="shared" si="7"/>
        <v>0</v>
      </c>
      <c r="AN99" s="37">
        <f t="shared" si="8"/>
        <v>0</v>
      </c>
      <c r="AO99" s="38" t="e">
        <f t="shared" si="9"/>
        <v>#DIV/0!</v>
      </c>
      <c r="AP99" s="38" t="e">
        <f t="shared" si="10"/>
        <v>#DIV/0!</v>
      </c>
      <c r="AQ99" s="39" t="e">
        <f t="shared" si="11"/>
        <v>#DIV/0!</v>
      </c>
    </row>
    <row r="100" spans="1:43" ht="20.100000000000001" customHeight="1" x14ac:dyDescent="0.25">
      <c r="A100" s="8">
        <v>98</v>
      </c>
      <c r="B100" s="48"/>
      <c r="C100" s="48"/>
      <c r="D100" s="48"/>
      <c r="E100" s="49"/>
      <c r="F100" s="49"/>
      <c r="G100" s="49"/>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40">
        <f t="shared" si="6"/>
        <v>0</v>
      </c>
      <c r="AM100" s="37">
        <f t="shared" si="7"/>
        <v>0</v>
      </c>
      <c r="AN100" s="37">
        <f t="shared" si="8"/>
        <v>0</v>
      </c>
      <c r="AO100" s="38" t="e">
        <f t="shared" si="9"/>
        <v>#DIV/0!</v>
      </c>
      <c r="AP100" s="38" t="e">
        <f t="shared" si="10"/>
        <v>#DIV/0!</v>
      </c>
      <c r="AQ100" s="39" t="e">
        <f t="shared" si="11"/>
        <v>#DIV/0!</v>
      </c>
    </row>
    <row r="101" spans="1:43" ht="20.100000000000001" customHeight="1" x14ac:dyDescent="0.25">
      <c r="A101" s="8">
        <v>99</v>
      </c>
      <c r="B101" s="48"/>
      <c r="C101" s="48"/>
      <c r="D101" s="48"/>
      <c r="E101" s="49"/>
      <c r="F101" s="49"/>
      <c r="G101" s="49"/>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8"/>
      <c r="AK101" s="88"/>
      <c r="AL101" s="40">
        <f t="shared" si="6"/>
        <v>0</v>
      </c>
      <c r="AM101" s="37">
        <f t="shared" si="7"/>
        <v>0</v>
      </c>
      <c r="AN101" s="37">
        <f t="shared" si="8"/>
        <v>0</v>
      </c>
      <c r="AO101" s="38" t="e">
        <f t="shared" si="9"/>
        <v>#DIV/0!</v>
      </c>
      <c r="AP101" s="38" t="e">
        <f t="shared" si="10"/>
        <v>#DIV/0!</v>
      </c>
      <c r="AQ101" s="39" t="e">
        <f t="shared" si="11"/>
        <v>#DIV/0!</v>
      </c>
    </row>
    <row r="102" spans="1:43" ht="20.100000000000001" customHeight="1" x14ac:dyDescent="0.25">
      <c r="A102" s="8">
        <v>100</v>
      </c>
      <c r="B102" s="48"/>
      <c r="C102" s="48"/>
      <c r="D102" s="48"/>
      <c r="E102" s="49"/>
      <c r="F102" s="49"/>
      <c r="G102" s="49"/>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40">
        <f t="shared" si="6"/>
        <v>0</v>
      </c>
      <c r="AM102" s="37">
        <f t="shared" si="7"/>
        <v>0</v>
      </c>
      <c r="AN102" s="37">
        <f t="shared" si="8"/>
        <v>0</v>
      </c>
      <c r="AO102" s="38" t="e">
        <f t="shared" si="9"/>
        <v>#DIV/0!</v>
      </c>
      <c r="AP102" s="38" t="e">
        <f t="shared" si="10"/>
        <v>#DIV/0!</v>
      </c>
      <c r="AQ102" s="39" t="e">
        <f t="shared" si="11"/>
        <v>#DIV/0!</v>
      </c>
    </row>
    <row r="103" spans="1:43" ht="20.100000000000001" customHeight="1" x14ac:dyDescent="0.25">
      <c r="A103" s="8">
        <v>101</v>
      </c>
      <c r="B103" s="48"/>
      <c r="C103" s="48"/>
      <c r="D103" s="48"/>
      <c r="E103" s="49"/>
      <c r="F103" s="49"/>
      <c r="G103" s="49"/>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40">
        <f t="shared" si="6"/>
        <v>0</v>
      </c>
      <c r="AM103" s="37">
        <f t="shared" si="7"/>
        <v>0</v>
      </c>
      <c r="AN103" s="37">
        <f t="shared" si="8"/>
        <v>0</v>
      </c>
      <c r="AO103" s="38" t="e">
        <f t="shared" si="9"/>
        <v>#DIV/0!</v>
      </c>
      <c r="AP103" s="38" t="e">
        <f t="shared" si="10"/>
        <v>#DIV/0!</v>
      </c>
      <c r="AQ103" s="39" t="e">
        <f t="shared" si="11"/>
        <v>#DIV/0!</v>
      </c>
    </row>
    <row r="104" spans="1:43" ht="20.100000000000001" customHeight="1" x14ac:dyDescent="0.25">
      <c r="A104" s="8">
        <v>102</v>
      </c>
      <c r="B104" s="48"/>
      <c r="C104" s="48"/>
      <c r="D104" s="48"/>
      <c r="E104" s="49"/>
      <c r="F104" s="49"/>
      <c r="G104" s="49"/>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8"/>
      <c r="AK104" s="88"/>
      <c r="AL104" s="40">
        <f t="shared" si="6"/>
        <v>0</v>
      </c>
      <c r="AM104" s="37">
        <f t="shared" si="7"/>
        <v>0</v>
      </c>
      <c r="AN104" s="37">
        <f t="shared" si="8"/>
        <v>0</v>
      </c>
      <c r="AO104" s="38" t="e">
        <f t="shared" si="9"/>
        <v>#DIV/0!</v>
      </c>
      <c r="AP104" s="38" t="e">
        <f t="shared" si="10"/>
        <v>#DIV/0!</v>
      </c>
      <c r="AQ104" s="39" t="e">
        <f t="shared" si="11"/>
        <v>#DIV/0!</v>
      </c>
    </row>
    <row r="105" spans="1:43" ht="20.100000000000001" customHeight="1" x14ac:dyDescent="0.25">
      <c r="A105" s="8">
        <v>103</v>
      </c>
      <c r="B105" s="48"/>
      <c r="C105" s="48"/>
      <c r="D105" s="48"/>
      <c r="E105" s="49"/>
      <c r="F105" s="49"/>
      <c r="G105" s="49"/>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8"/>
      <c r="AK105" s="88"/>
      <c r="AL105" s="40">
        <f t="shared" si="6"/>
        <v>0</v>
      </c>
      <c r="AM105" s="37">
        <f t="shared" si="7"/>
        <v>0</v>
      </c>
      <c r="AN105" s="37">
        <f t="shared" si="8"/>
        <v>0</v>
      </c>
      <c r="AO105" s="38" t="e">
        <f t="shared" si="9"/>
        <v>#DIV/0!</v>
      </c>
      <c r="AP105" s="38" t="e">
        <f t="shared" si="10"/>
        <v>#DIV/0!</v>
      </c>
      <c r="AQ105" s="39" t="e">
        <f t="shared" si="11"/>
        <v>#DIV/0!</v>
      </c>
    </row>
    <row r="106" spans="1:43" ht="20.100000000000001" customHeight="1" x14ac:dyDescent="0.25">
      <c r="A106" s="8">
        <v>104</v>
      </c>
      <c r="B106" s="48"/>
      <c r="C106" s="48"/>
      <c r="D106" s="48"/>
      <c r="E106" s="49"/>
      <c r="F106" s="49"/>
      <c r="G106" s="49"/>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40">
        <f t="shared" si="6"/>
        <v>0</v>
      </c>
      <c r="AM106" s="37">
        <f t="shared" si="7"/>
        <v>0</v>
      </c>
      <c r="AN106" s="37">
        <f t="shared" si="8"/>
        <v>0</v>
      </c>
      <c r="AO106" s="38" t="e">
        <f t="shared" si="9"/>
        <v>#DIV/0!</v>
      </c>
      <c r="AP106" s="38" t="e">
        <f t="shared" si="10"/>
        <v>#DIV/0!</v>
      </c>
      <c r="AQ106" s="39" t="e">
        <f t="shared" si="11"/>
        <v>#DIV/0!</v>
      </c>
    </row>
    <row r="107" spans="1:43" ht="20.100000000000001" customHeight="1" x14ac:dyDescent="0.25">
      <c r="A107" s="8">
        <v>105</v>
      </c>
      <c r="B107" s="48"/>
      <c r="C107" s="48"/>
      <c r="D107" s="48"/>
      <c r="E107" s="49"/>
      <c r="F107" s="49"/>
      <c r="G107" s="49"/>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40">
        <f t="shared" si="6"/>
        <v>0</v>
      </c>
      <c r="AM107" s="37">
        <f t="shared" si="7"/>
        <v>0</v>
      </c>
      <c r="AN107" s="37">
        <f t="shared" si="8"/>
        <v>0</v>
      </c>
      <c r="AO107" s="38" t="e">
        <f t="shared" si="9"/>
        <v>#DIV/0!</v>
      </c>
      <c r="AP107" s="38" t="e">
        <f t="shared" si="10"/>
        <v>#DIV/0!</v>
      </c>
      <c r="AQ107" s="39" t="e">
        <f t="shared" si="11"/>
        <v>#DIV/0!</v>
      </c>
    </row>
    <row r="108" spans="1:43" ht="20.100000000000001" customHeight="1" x14ac:dyDescent="0.25">
      <c r="A108" s="8">
        <v>106</v>
      </c>
      <c r="B108" s="48"/>
      <c r="C108" s="48"/>
      <c r="D108" s="48"/>
      <c r="E108" s="49"/>
      <c r="F108" s="49"/>
      <c r="G108" s="49"/>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40">
        <f t="shared" si="6"/>
        <v>0</v>
      </c>
      <c r="AM108" s="37">
        <f t="shared" si="7"/>
        <v>0</v>
      </c>
      <c r="AN108" s="37">
        <f t="shared" si="8"/>
        <v>0</v>
      </c>
      <c r="AO108" s="38" t="e">
        <f t="shared" si="9"/>
        <v>#DIV/0!</v>
      </c>
      <c r="AP108" s="38" t="e">
        <f t="shared" si="10"/>
        <v>#DIV/0!</v>
      </c>
      <c r="AQ108" s="39" t="e">
        <f t="shared" si="11"/>
        <v>#DIV/0!</v>
      </c>
    </row>
    <row r="109" spans="1:43" ht="20.100000000000001" customHeight="1" x14ac:dyDescent="0.25">
      <c r="A109" s="8">
        <v>107</v>
      </c>
      <c r="B109" s="48"/>
      <c r="C109" s="48"/>
      <c r="D109" s="48"/>
      <c r="E109" s="49"/>
      <c r="F109" s="49"/>
      <c r="G109" s="49"/>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40">
        <f t="shared" si="6"/>
        <v>0</v>
      </c>
      <c r="AM109" s="37">
        <f t="shared" si="7"/>
        <v>0</v>
      </c>
      <c r="AN109" s="37">
        <f t="shared" si="8"/>
        <v>0</v>
      </c>
      <c r="AO109" s="38" t="e">
        <f t="shared" si="9"/>
        <v>#DIV/0!</v>
      </c>
      <c r="AP109" s="38" t="e">
        <f t="shared" si="10"/>
        <v>#DIV/0!</v>
      </c>
      <c r="AQ109" s="39" t="e">
        <f t="shared" si="11"/>
        <v>#DIV/0!</v>
      </c>
    </row>
    <row r="110" spans="1:43" ht="20.100000000000001" customHeight="1" x14ac:dyDescent="0.25">
      <c r="A110" s="8">
        <v>108</v>
      </c>
      <c r="B110" s="48"/>
      <c r="C110" s="48"/>
      <c r="D110" s="48"/>
      <c r="E110" s="49"/>
      <c r="F110" s="49"/>
      <c r="G110" s="49"/>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8"/>
      <c r="AK110" s="88"/>
      <c r="AL110" s="40">
        <f t="shared" si="6"/>
        <v>0</v>
      </c>
      <c r="AM110" s="37">
        <f t="shared" si="7"/>
        <v>0</v>
      </c>
      <c r="AN110" s="37">
        <f t="shared" si="8"/>
        <v>0</v>
      </c>
      <c r="AO110" s="38" t="e">
        <f t="shared" si="9"/>
        <v>#DIV/0!</v>
      </c>
      <c r="AP110" s="38" t="e">
        <f t="shared" si="10"/>
        <v>#DIV/0!</v>
      </c>
      <c r="AQ110" s="39" t="e">
        <f t="shared" si="11"/>
        <v>#DIV/0!</v>
      </c>
    </row>
    <row r="111" spans="1:43" ht="20.100000000000001" customHeight="1" x14ac:dyDescent="0.25">
      <c r="A111" s="8">
        <v>109</v>
      </c>
      <c r="B111" s="48"/>
      <c r="C111" s="48"/>
      <c r="D111" s="48"/>
      <c r="E111" s="49"/>
      <c r="F111" s="49"/>
      <c r="G111" s="49"/>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8"/>
      <c r="AK111" s="88"/>
      <c r="AL111" s="40">
        <f t="shared" si="6"/>
        <v>0</v>
      </c>
      <c r="AM111" s="37">
        <f t="shared" si="7"/>
        <v>0</v>
      </c>
      <c r="AN111" s="37">
        <f t="shared" si="8"/>
        <v>0</v>
      </c>
      <c r="AO111" s="38" t="e">
        <f t="shared" si="9"/>
        <v>#DIV/0!</v>
      </c>
      <c r="AP111" s="38" t="e">
        <f t="shared" si="10"/>
        <v>#DIV/0!</v>
      </c>
      <c r="AQ111" s="39" t="e">
        <f t="shared" si="11"/>
        <v>#DIV/0!</v>
      </c>
    </row>
    <row r="112" spans="1:43" ht="20.100000000000001" customHeight="1" x14ac:dyDescent="0.25">
      <c r="A112" s="8">
        <v>110</v>
      </c>
      <c r="B112" s="48"/>
      <c r="C112" s="48"/>
      <c r="D112" s="48"/>
      <c r="E112" s="49"/>
      <c r="F112" s="49"/>
      <c r="G112" s="49"/>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88"/>
      <c r="AL112" s="40">
        <f t="shared" si="6"/>
        <v>0</v>
      </c>
      <c r="AM112" s="37">
        <f t="shared" si="7"/>
        <v>0</v>
      </c>
      <c r="AN112" s="37">
        <f t="shared" si="8"/>
        <v>0</v>
      </c>
      <c r="AO112" s="38" t="e">
        <f t="shared" si="9"/>
        <v>#DIV/0!</v>
      </c>
      <c r="AP112" s="38" t="e">
        <f t="shared" si="10"/>
        <v>#DIV/0!</v>
      </c>
      <c r="AQ112" s="39" t="e">
        <f t="shared" si="11"/>
        <v>#DIV/0!</v>
      </c>
    </row>
    <row r="113" spans="1:43" ht="20.100000000000001" customHeight="1" x14ac:dyDescent="0.25">
      <c r="A113" s="8">
        <v>111</v>
      </c>
      <c r="B113" s="48"/>
      <c r="C113" s="48"/>
      <c r="D113" s="48"/>
      <c r="E113" s="49"/>
      <c r="F113" s="49"/>
      <c r="G113" s="49"/>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8"/>
      <c r="AK113" s="88"/>
      <c r="AL113" s="40">
        <f t="shared" si="6"/>
        <v>0</v>
      </c>
      <c r="AM113" s="37">
        <f t="shared" si="7"/>
        <v>0</v>
      </c>
      <c r="AN113" s="37">
        <f t="shared" si="8"/>
        <v>0</v>
      </c>
      <c r="AO113" s="38" t="e">
        <f t="shared" si="9"/>
        <v>#DIV/0!</v>
      </c>
      <c r="AP113" s="38" t="e">
        <f t="shared" si="10"/>
        <v>#DIV/0!</v>
      </c>
      <c r="AQ113" s="39" t="e">
        <f t="shared" si="11"/>
        <v>#DIV/0!</v>
      </c>
    </row>
    <row r="114" spans="1:43" ht="20.100000000000001" customHeight="1" x14ac:dyDescent="0.25">
      <c r="A114" s="8">
        <v>112</v>
      </c>
      <c r="B114" s="48"/>
      <c r="C114" s="48"/>
      <c r="D114" s="48"/>
      <c r="E114" s="49"/>
      <c r="F114" s="49"/>
      <c r="G114" s="49"/>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40">
        <f t="shared" si="6"/>
        <v>0</v>
      </c>
      <c r="AM114" s="37">
        <f t="shared" si="7"/>
        <v>0</v>
      </c>
      <c r="AN114" s="37">
        <f t="shared" si="8"/>
        <v>0</v>
      </c>
      <c r="AO114" s="38" t="e">
        <f t="shared" si="9"/>
        <v>#DIV/0!</v>
      </c>
      <c r="AP114" s="38" t="e">
        <f t="shared" si="10"/>
        <v>#DIV/0!</v>
      </c>
      <c r="AQ114" s="39" t="e">
        <f t="shared" si="11"/>
        <v>#DIV/0!</v>
      </c>
    </row>
    <row r="115" spans="1:43" ht="20.100000000000001" customHeight="1" x14ac:dyDescent="0.25">
      <c r="A115" s="8">
        <v>113</v>
      </c>
      <c r="B115" s="48"/>
      <c r="C115" s="48"/>
      <c r="D115" s="48"/>
      <c r="E115" s="49"/>
      <c r="F115" s="49"/>
      <c r="G115" s="49"/>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40">
        <f t="shared" si="6"/>
        <v>0</v>
      </c>
      <c r="AM115" s="37">
        <f t="shared" si="7"/>
        <v>0</v>
      </c>
      <c r="AN115" s="37">
        <f t="shared" si="8"/>
        <v>0</v>
      </c>
      <c r="AO115" s="38" t="e">
        <f t="shared" si="9"/>
        <v>#DIV/0!</v>
      </c>
      <c r="AP115" s="38" t="e">
        <f t="shared" si="10"/>
        <v>#DIV/0!</v>
      </c>
      <c r="AQ115" s="39" t="e">
        <f t="shared" si="11"/>
        <v>#DIV/0!</v>
      </c>
    </row>
    <row r="116" spans="1:43" ht="20.100000000000001" customHeight="1" x14ac:dyDescent="0.25">
      <c r="A116" s="8">
        <v>114</v>
      </c>
      <c r="B116" s="48"/>
      <c r="C116" s="48"/>
      <c r="D116" s="48"/>
      <c r="E116" s="49"/>
      <c r="F116" s="49"/>
      <c r="G116" s="49"/>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40">
        <f t="shared" si="6"/>
        <v>0</v>
      </c>
      <c r="AM116" s="37">
        <f t="shared" si="7"/>
        <v>0</v>
      </c>
      <c r="AN116" s="37">
        <f t="shared" si="8"/>
        <v>0</v>
      </c>
      <c r="AO116" s="38" t="e">
        <f t="shared" si="9"/>
        <v>#DIV/0!</v>
      </c>
      <c r="AP116" s="38" t="e">
        <f t="shared" si="10"/>
        <v>#DIV/0!</v>
      </c>
      <c r="AQ116" s="39" t="e">
        <f t="shared" si="11"/>
        <v>#DIV/0!</v>
      </c>
    </row>
    <row r="117" spans="1:43" ht="20.100000000000001" customHeight="1" x14ac:dyDescent="0.25">
      <c r="A117" s="8">
        <v>115</v>
      </c>
      <c r="B117" s="48"/>
      <c r="C117" s="48"/>
      <c r="D117" s="48"/>
      <c r="E117" s="49"/>
      <c r="F117" s="49"/>
      <c r="G117" s="49"/>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8"/>
      <c r="AK117" s="88"/>
      <c r="AL117" s="40">
        <f t="shared" si="6"/>
        <v>0</v>
      </c>
      <c r="AM117" s="37">
        <f t="shared" si="7"/>
        <v>0</v>
      </c>
      <c r="AN117" s="37">
        <f t="shared" si="8"/>
        <v>0</v>
      </c>
      <c r="AO117" s="38" t="e">
        <f t="shared" si="9"/>
        <v>#DIV/0!</v>
      </c>
      <c r="AP117" s="38" t="e">
        <f t="shared" si="10"/>
        <v>#DIV/0!</v>
      </c>
      <c r="AQ117" s="39" t="e">
        <f t="shared" si="11"/>
        <v>#DIV/0!</v>
      </c>
    </row>
    <row r="118" spans="1:43" ht="20.100000000000001" customHeight="1" x14ac:dyDescent="0.25">
      <c r="A118" s="8">
        <v>116</v>
      </c>
      <c r="B118" s="48"/>
      <c r="C118" s="48"/>
      <c r="D118" s="48"/>
      <c r="E118" s="49"/>
      <c r="F118" s="49"/>
      <c r="G118" s="49"/>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40">
        <f t="shared" si="6"/>
        <v>0</v>
      </c>
      <c r="AM118" s="37">
        <f t="shared" si="7"/>
        <v>0</v>
      </c>
      <c r="AN118" s="37">
        <f t="shared" si="8"/>
        <v>0</v>
      </c>
      <c r="AO118" s="38" t="e">
        <f t="shared" si="9"/>
        <v>#DIV/0!</v>
      </c>
      <c r="AP118" s="38" t="e">
        <f t="shared" si="10"/>
        <v>#DIV/0!</v>
      </c>
      <c r="AQ118" s="39" t="e">
        <f t="shared" si="11"/>
        <v>#DIV/0!</v>
      </c>
    </row>
    <row r="119" spans="1:43" ht="20.100000000000001" customHeight="1" x14ac:dyDescent="0.25">
      <c r="A119" s="8">
        <v>117</v>
      </c>
      <c r="B119" s="48"/>
      <c r="C119" s="48"/>
      <c r="D119" s="48"/>
      <c r="E119" s="49"/>
      <c r="F119" s="49"/>
      <c r="G119" s="49"/>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40">
        <f t="shared" si="6"/>
        <v>0</v>
      </c>
      <c r="AM119" s="37">
        <f t="shared" si="7"/>
        <v>0</v>
      </c>
      <c r="AN119" s="37">
        <f t="shared" si="8"/>
        <v>0</v>
      </c>
      <c r="AO119" s="38" t="e">
        <f t="shared" si="9"/>
        <v>#DIV/0!</v>
      </c>
      <c r="AP119" s="38" t="e">
        <f t="shared" si="10"/>
        <v>#DIV/0!</v>
      </c>
      <c r="AQ119" s="39" t="e">
        <f t="shared" si="11"/>
        <v>#DIV/0!</v>
      </c>
    </row>
    <row r="120" spans="1:43" ht="20.100000000000001" customHeight="1" x14ac:dyDescent="0.25">
      <c r="A120" s="8">
        <v>118</v>
      </c>
      <c r="B120" s="48"/>
      <c r="C120" s="48"/>
      <c r="D120" s="48"/>
      <c r="E120" s="49"/>
      <c r="F120" s="49"/>
      <c r="G120" s="49"/>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8"/>
      <c r="AK120" s="88"/>
      <c r="AL120" s="40">
        <f t="shared" si="6"/>
        <v>0</v>
      </c>
      <c r="AM120" s="37">
        <f t="shared" si="7"/>
        <v>0</v>
      </c>
      <c r="AN120" s="37">
        <f t="shared" si="8"/>
        <v>0</v>
      </c>
      <c r="AO120" s="38" t="e">
        <f t="shared" si="9"/>
        <v>#DIV/0!</v>
      </c>
      <c r="AP120" s="38" t="e">
        <f t="shared" si="10"/>
        <v>#DIV/0!</v>
      </c>
      <c r="AQ120" s="39" t="e">
        <f t="shared" si="11"/>
        <v>#DIV/0!</v>
      </c>
    </row>
    <row r="121" spans="1:43" ht="20.100000000000001" customHeight="1" x14ac:dyDescent="0.25">
      <c r="A121" s="8">
        <v>119</v>
      </c>
      <c r="B121" s="48"/>
      <c r="C121" s="48"/>
      <c r="D121" s="48"/>
      <c r="E121" s="49"/>
      <c r="F121" s="49"/>
      <c r="G121" s="49"/>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40">
        <f t="shared" si="6"/>
        <v>0</v>
      </c>
      <c r="AM121" s="37">
        <f t="shared" si="7"/>
        <v>0</v>
      </c>
      <c r="AN121" s="37">
        <f t="shared" si="8"/>
        <v>0</v>
      </c>
      <c r="AO121" s="38" t="e">
        <f t="shared" si="9"/>
        <v>#DIV/0!</v>
      </c>
      <c r="AP121" s="38" t="e">
        <f t="shared" si="10"/>
        <v>#DIV/0!</v>
      </c>
      <c r="AQ121" s="39" t="e">
        <f t="shared" si="11"/>
        <v>#DIV/0!</v>
      </c>
    </row>
    <row r="122" spans="1:43" ht="20.100000000000001" customHeight="1" x14ac:dyDescent="0.25">
      <c r="A122" s="8">
        <v>120</v>
      </c>
      <c r="B122" s="48"/>
      <c r="C122" s="48"/>
      <c r="D122" s="48"/>
      <c r="E122" s="49"/>
      <c r="F122" s="49"/>
      <c r="G122" s="49"/>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8"/>
      <c r="AK122" s="88"/>
      <c r="AL122" s="40">
        <f t="shared" si="6"/>
        <v>0</v>
      </c>
      <c r="AM122" s="37">
        <f t="shared" si="7"/>
        <v>0</v>
      </c>
      <c r="AN122" s="37">
        <f t="shared" si="8"/>
        <v>0</v>
      </c>
      <c r="AO122" s="38" t="e">
        <f t="shared" si="9"/>
        <v>#DIV/0!</v>
      </c>
      <c r="AP122" s="38" t="e">
        <f t="shared" si="10"/>
        <v>#DIV/0!</v>
      </c>
      <c r="AQ122" s="39" t="e">
        <f t="shared" si="11"/>
        <v>#DIV/0!</v>
      </c>
    </row>
    <row r="123" spans="1:43" ht="20.100000000000001" customHeight="1" x14ac:dyDescent="0.25">
      <c r="A123" s="8">
        <v>121</v>
      </c>
      <c r="B123" s="48"/>
      <c r="C123" s="48"/>
      <c r="D123" s="48"/>
      <c r="E123" s="49"/>
      <c r="F123" s="49"/>
      <c r="G123" s="49"/>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40">
        <f t="shared" si="6"/>
        <v>0</v>
      </c>
      <c r="AM123" s="37">
        <f t="shared" si="7"/>
        <v>0</v>
      </c>
      <c r="AN123" s="37">
        <f t="shared" si="8"/>
        <v>0</v>
      </c>
      <c r="AO123" s="38" t="e">
        <f t="shared" si="9"/>
        <v>#DIV/0!</v>
      </c>
      <c r="AP123" s="38" t="e">
        <f t="shared" si="10"/>
        <v>#DIV/0!</v>
      </c>
      <c r="AQ123" s="39" t="e">
        <f t="shared" si="11"/>
        <v>#DIV/0!</v>
      </c>
    </row>
    <row r="124" spans="1:43" ht="20.100000000000001" customHeight="1" x14ac:dyDescent="0.25">
      <c r="A124" s="8">
        <v>122</v>
      </c>
      <c r="B124" s="48"/>
      <c r="C124" s="48"/>
      <c r="D124" s="48"/>
      <c r="E124" s="49"/>
      <c r="F124" s="49"/>
      <c r="G124" s="49"/>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40">
        <f t="shared" si="6"/>
        <v>0</v>
      </c>
      <c r="AM124" s="37">
        <f t="shared" si="7"/>
        <v>0</v>
      </c>
      <c r="AN124" s="37">
        <f t="shared" si="8"/>
        <v>0</v>
      </c>
      <c r="AO124" s="38" t="e">
        <f t="shared" si="9"/>
        <v>#DIV/0!</v>
      </c>
      <c r="AP124" s="38" t="e">
        <f t="shared" si="10"/>
        <v>#DIV/0!</v>
      </c>
      <c r="AQ124" s="39" t="e">
        <f t="shared" si="11"/>
        <v>#DIV/0!</v>
      </c>
    </row>
    <row r="125" spans="1:43" ht="20.100000000000001" customHeight="1" x14ac:dyDescent="0.25">
      <c r="A125" s="8">
        <v>123</v>
      </c>
      <c r="B125" s="48"/>
      <c r="C125" s="48"/>
      <c r="D125" s="48"/>
      <c r="E125" s="49"/>
      <c r="F125" s="49"/>
      <c r="G125" s="49"/>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40">
        <f t="shared" si="6"/>
        <v>0</v>
      </c>
      <c r="AM125" s="37">
        <f t="shared" si="7"/>
        <v>0</v>
      </c>
      <c r="AN125" s="37">
        <f t="shared" si="8"/>
        <v>0</v>
      </c>
      <c r="AO125" s="38" t="e">
        <f t="shared" si="9"/>
        <v>#DIV/0!</v>
      </c>
      <c r="AP125" s="38" t="e">
        <f t="shared" si="10"/>
        <v>#DIV/0!</v>
      </c>
      <c r="AQ125" s="39" t="e">
        <f t="shared" si="11"/>
        <v>#DIV/0!</v>
      </c>
    </row>
    <row r="126" spans="1:43" ht="20.100000000000001" customHeight="1" x14ac:dyDescent="0.25">
      <c r="A126" s="8">
        <v>124</v>
      </c>
      <c r="B126" s="48"/>
      <c r="C126" s="48"/>
      <c r="D126" s="48"/>
      <c r="E126" s="49"/>
      <c r="F126" s="49"/>
      <c r="G126" s="49"/>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40">
        <f t="shared" si="6"/>
        <v>0</v>
      </c>
      <c r="AM126" s="37">
        <f t="shared" si="7"/>
        <v>0</v>
      </c>
      <c r="AN126" s="37">
        <f t="shared" si="8"/>
        <v>0</v>
      </c>
      <c r="AO126" s="38" t="e">
        <f t="shared" si="9"/>
        <v>#DIV/0!</v>
      </c>
      <c r="AP126" s="38" t="e">
        <f t="shared" si="10"/>
        <v>#DIV/0!</v>
      </c>
      <c r="AQ126" s="39" t="e">
        <f t="shared" si="11"/>
        <v>#DIV/0!</v>
      </c>
    </row>
    <row r="127" spans="1:43" ht="20.100000000000001" customHeight="1" x14ac:dyDescent="0.25">
      <c r="A127" s="8">
        <v>125</v>
      </c>
      <c r="B127" s="48"/>
      <c r="C127" s="48"/>
      <c r="D127" s="48"/>
      <c r="E127" s="49"/>
      <c r="F127" s="49"/>
      <c r="G127" s="49"/>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40">
        <f t="shared" si="6"/>
        <v>0</v>
      </c>
      <c r="AM127" s="37">
        <f t="shared" si="7"/>
        <v>0</v>
      </c>
      <c r="AN127" s="37">
        <f t="shared" si="8"/>
        <v>0</v>
      </c>
      <c r="AO127" s="38" t="e">
        <f t="shared" si="9"/>
        <v>#DIV/0!</v>
      </c>
      <c r="AP127" s="38" t="e">
        <f t="shared" si="10"/>
        <v>#DIV/0!</v>
      </c>
      <c r="AQ127" s="39" t="e">
        <f t="shared" si="11"/>
        <v>#DIV/0!</v>
      </c>
    </row>
    <row r="128" spans="1:43" ht="20.100000000000001" customHeight="1" x14ac:dyDescent="0.25">
      <c r="A128" s="8">
        <v>126</v>
      </c>
      <c r="B128" s="48"/>
      <c r="C128" s="48"/>
      <c r="D128" s="48"/>
      <c r="E128" s="49"/>
      <c r="F128" s="49"/>
      <c r="G128" s="49"/>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8"/>
      <c r="AK128" s="88"/>
      <c r="AL128" s="40">
        <f t="shared" si="6"/>
        <v>0</v>
      </c>
      <c r="AM128" s="37">
        <f t="shared" si="7"/>
        <v>0</v>
      </c>
      <c r="AN128" s="37">
        <f t="shared" si="8"/>
        <v>0</v>
      </c>
      <c r="AO128" s="38" t="e">
        <f t="shared" si="9"/>
        <v>#DIV/0!</v>
      </c>
      <c r="AP128" s="38" t="e">
        <f t="shared" si="10"/>
        <v>#DIV/0!</v>
      </c>
      <c r="AQ128" s="39" t="e">
        <f t="shared" si="11"/>
        <v>#DIV/0!</v>
      </c>
    </row>
    <row r="129" spans="1:43" ht="20.100000000000001" customHeight="1" x14ac:dyDescent="0.25">
      <c r="A129" s="8">
        <v>127</v>
      </c>
      <c r="B129" s="48"/>
      <c r="C129" s="48"/>
      <c r="D129" s="48"/>
      <c r="E129" s="49"/>
      <c r="F129" s="49"/>
      <c r="G129" s="49"/>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8"/>
      <c r="AK129" s="88"/>
      <c r="AL129" s="40">
        <f t="shared" si="6"/>
        <v>0</v>
      </c>
      <c r="AM129" s="37">
        <f t="shared" si="7"/>
        <v>0</v>
      </c>
      <c r="AN129" s="37">
        <f t="shared" si="8"/>
        <v>0</v>
      </c>
      <c r="AO129" s="38" t="e">
        <f t="shared" si="9"/>
        <v>#DIV/0!</v>
      </c>
      <c r="AP129" s="38" t="e">
        <f t="shared" si="10"/>
        <v>#DIV/0!</v>
      </c>
      <c r="AQ129" s="39" t="e">
        <f t="shared" si="11"/>
        <v>#DIV/0!</v>
      </c>
    </row>
    <row r="130" spans="1:43" ht="20.100000000000001" customHeight="1" x14ac:dyDescent="0.25">
      <c r="A130" s="8">
        <v>128</v>
      </c>
      <c r="B130" s="48"/>
      <c r="C130" s="48"/>
      <c r="D130" s="48"/>
      <c r="E130" s="49"/>
      <c r="F130" s="49"/>
      <c r="G130" s="49"/>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40">
        <f t="shared" si="6"/>
        <v>0</v>
      </c>
      <c r="AM130" s="37">
        <f t="shared" si="7"/>
        <v>0</v>
      </c>
      <c r="AN130" s="37">
        <f t="shared" si="8"/>
        <v>0</v>
      </c>
      <c r="AO130" s="38" t="e">
        <f t="shared" si="9"/>
        <v>#DIV/0!</v>
      </c>
      <c r="AP130" s="38" t="e">
        <f t="shared" si="10"/>
        <v>#DIV/0!</v>
      </c>
      <c r="AQ130" s="39" t="e">
        <f t="shared" si="11"/>
        <v>#DIV/0!</v>
      </c>
    </row>
    <row r="131" spans="1:43" ht="20.100000000000001" customHeight="1" x14ac:dyDescent="0.25">
      <c r="A131" s="8">
        <v>129</v>
      </c>
      <c r="B131" s="48"/>
      <c r="C131" s="48"/>
      <c r="D131" s="48"/>
      <c r="E131" s="49"/>
      <c r="F131" s="49"/>
      <c r="G131" s="49"/>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40">
        <f t="shared" ref="AL131:AL194" si="12">COUNTIF($H131:$AK131,1)</f>
        <v>0</v>
      </c>
      <c r="AM131" s="37">
        <f t="shared" ref="AM131:AM194" si="13">COUNTIF($H131:$AK131,0)</f>
        <v>0</v>
      </c>
      <c r="AN131" s="37">
        <f t="shared" si="8"/>
        <v>0</v>
      </c>
      <c r="AO131" s="38" t="e">
        <f t="shared" si="9"/>
        <v>#DIV/0!</v>
      </c>
      <c r="AP131" s="38" t="e">
        <f t="shared" si="10"/>
        <v>#DIV/0!</v>
      </c>
      <c r="AQ131" s="39" t="e">
        <f t="shared" si="11"/>
        <v>#DIV/0!</v>
      </c>
    </row>
    <row r="132" spans="1:43" ht="20.100000000000001" customHeight="1" x14ac:dyDescent="0.25">
      <c r="A132" s="8">
        <v>130</v>
      </c>
      <c r="B132" s="48"/>
      <c r="C132" s="48"/>
      <c r="D132" s="48"/>
      <c r="E132" s="49"/>
      <c r="F132" s="49"/>
      <c r="G132" s="49"/>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8"/>
      <c r="AK132" s="88"/>
      <c r="AL132" s="40">
        <f t="shared" si="12"/>
        <v>0</v>
      </c>
      <c r="AM132" s="37">
        <f t="shared" si="13"/>
        <v>0</v>
      </c>
      <c r="AN132" s="37">
        <f t="shared" ref="AN132:AN195" si="14">SUM(AL132:AM132)</f>
        <v>0</v>
      </c>
      <c r="AO132" s="38" t="e">
        <f t="shared" ref="AO132:AO195" si="15">(AL132/AN132)*100</f>
        <v>#DIV/0!</v>
      </c>
      <c r="AP132" s="38" t="e">
        <f t="shared" ref="AP132:AP195" si="16">(AM132/AN132)*100</f>
        <v>#DIV/0!</v>
      </c>
      <c r="AQ132" s="39" t="e">
        <f t="shared" ref="AQ132:AQ195" si="17">SUM(AO132:AP132)</f>
        <v>#DIV/0!</v>
      </c>
    </row>
    <row r="133" spans="1:43" ht="20.100000000000001" customHeight="1" x14ac:dyDescent="0.25">
      <c r="A133" s="8">
        <v>131</v>
      </c>
      <c r="B133" s="48"/>
      <c r="C133" s="48"/>
      <c r="D133" s="48"/>
      <c r="E133" s="49"/>
      <c r="F133" s="49"/>
      <c r="G133" s="49"/>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40">
        <f t="shared" si="12"/>
        <v>0</v>
      </c>
      <c r="AM133" s="37">
        <f t="shared" si="13"/>
        <v>0</v>
      </c>
      <c r="AN133" s="37">
        <f t="shared" si="14"/>
        <v>0</v>
      </c>
      <c r="AO133" s="38" t="e">
        <f t="shared" si="15"/>
        <v>#DIV/0!</v>
      </c>
      <c r="AP133" s="38" t="e">
        <f t="shared" si="16"/>
        <v>#DIV/0!</v>
      </c>
      <c r="AQ133" s="39" t="e">
        <f t="shared" si="17"/>
        <v>#DIV/0!</v>
      </c>
    </row>
    <row r="134" spans="1:43" ht="20.100000000000001" customHeight="1" x14ac:dyDescent="0.25">
      <c r="A134" s="8">
        <v>132</v>
      </c>
      <c r="B134" s="48"/>
      <c r="C134" s="48"/>
      <c r="D134" s="48"/>
      <c r="E134" s="49"/>
      <c r="F134" s="49"/>
      <c r="G134" s="49"/>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40">
        <f t="shared" si="12"/>
        <v>0</v>
      </c>
      <c r="AM134" s="37">
        <f t="shared" si="13"/>
        <v>0</v>
      </c>
      <c r="AN134" s="37">
        <f t="shared" si="14"/>
        <v>0</v>
      </c>
      <c r="AO134" s="38" t="e">
        <f t="shared" si="15"/>
        <v>#DIV/0!</v>
      </c>
      <c r="AP134" s="38" t="e">
        <f t="shared" si="16"/>
        <v>#DIV/0!</v>
      </c>
      <c r="AQ134" s="39" t="e">
        <f t="shared" si="17"/>
        <v>#DIV/0!</v>
      </c>
    </row>
    <row r="135" spans="1:43" ht="20.100000000000001" customHeight="1" x14ac:dyDescent="0.25">
      <c r="A135" s="8">
        <v>133</v>
      </c>
      <c r="B135" s="48"/>
      <c r="C135" s="48"/>
      <c r="D135" s="48"/>
      <c r="E135" s="49"/>
      <c r="F135" s="49"/>
      <c r="G135" s="49"/>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8"/>
      <c r="AK135" s="88"/>
      <c r="AL135" s="40">
        <f t="shared" si="12"/>
        <v>0</v>
      </c>
      <c r="AM135" s="37">
        <f t="shared" si="13"/>
        <v>0</v>
      </c>
      <c r="AN135" s="37">
        <f t="shared" si="14"/>
        <v>0</v>
      </c>
      <c r="AO135" s="38" t="e">
        <f t="shared" si="15"/>
        <v>#DIV/0!</v>
      </c>
      <c r="AP135" s="38" t="e">
        <f t="shared" si="16"/>
        <v>#DIV/0!</v>
      </c>
      <c r="AQ135" s="39" t="e">
        <f t="shared" si="17"/>
        <v>#DIV/0!</v>
      </c>
    </row>
    <row r="136" spans="1:43" ht="20.100000000000001" customHeight="1" x14ac:dyDescent="0.25">
      <c r="A136" s="8">
        <v>134</v>
      </c>
      <c r="B136" s="48"/>
      <c r="C136" s="48"/>
      <c r="D136" s="48"/>
      <c r="E136" s="49"/>
      <c r="F136" s="49"/>
      <c r="G136" s="49"/>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40">
        <f t="shared" si="12"/>
        <v>0</v>
      </c>
      <c r="AM136" s="37">
        <f t="shared" si="13"/>
        <v>0</v>
      </c>
      <c r="AN136" s="37">
        <f t="shared" si="14"/>
        <v>0</v>
      </c>
      <c r="AO136" s="38" t="e">
        <f t="shared" si="15"/>
        <v>#DIV/0!</v>
      </c>
      <c r="AP136" s="38" t="e">
        <f t="shared" si="16"/>
        <v>#DIV/0!</v>
      </c>
      <c r="AQ136" s="39" t="e">
        <f t="shared" si="17"/>
        <v>#DIV/0!</v>
      </c>
    </row>
    <row r="137" spans="1:43" ht="20.100000000000001" customHeight="1" x14ac:dyDescent="0.25">
      <c r="A137" s="8">
        <v>135</v>
      </c>
      <c r="B137" s="48"/>
      <c r="C137" s="48"/>
      <c r="D137" s="48"/>
      <c r="E137" s="49"/>
      <c r="F137" s="49"/>
      <c r="G137" s="49"/>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40">
        <f t="shared" si="12"/>
        <v>0</v>
      </c>
      <c r="AM137" s="37">
        <f t="shared" si="13"/>
        <v>0</v>
      </c>
      <c r="AN137" s="37">
        <f t="shared" si="14"/>
        <v>0</v>
      </c>
      <c r="AO137" s="38" t="e">
        <f t="shared" si="15"/>
        <v>#DIV/0!</v>
      </c>
      <c r="AP137" s="38" t="e">
        <f t="shared" si="16"/>
        <v>#DIV/0!</v>
      </c>
      <c r="AQ137" s="39" t="e">
        <f t="shared" si="17"/>
        <v>#DIV/0!</v>
      </c>
    </row>
    <row r="138" spans="1:43" ht="20.100000000000001" customHeight="1" x14ac:dyDescent="0.25">
      <c r="A138" s="8">
        <v>136</v>
      </c>
      <c r="B138" s="48"/>
      <c r="C138" s="48"/>
      <c r="D138" s="48"/>
      <c r="E138" s="49"/>
      <c r="F138" s="49"/>
      <c r="G138" s="49"/>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40">
        <f t="shared" si="12"/>
        <v>0</v>
      </c>
      <c r="AM138" s="37">
        <f t="shared" si="13"/>
        <v>0</v>
      </c>
      <c r="AN138" s="37">
        <f t="shared" si="14"/>
        <v>0</v>
      </c>
      <c r="AO138" s="38" t="e">
        <f t="shared" si="15"/>
        <v>#DIV/0!</v>
      </c>
      <c r="AP138" s="38" t="e">
        <f t="shared" si="16"/>
        <v>#DIV/0!</v>
      </c>
      <c r="AQ138" s="39" t="e">
        <f t="shared" si="17"/>
        <v>#DIV/0!</v>
      </c>
    </row>
    <row r="139" spans="1:43" ht="20.100000000000001" customHeight="1" x14ac:dyDescent="0.25">
      <c r="A139" s="8">
        <v>137</v>
      </c>
      <c r="B139" s="48"/>
      <c r="C139" s="48"/>
      <c r="D139" s="48"/>
      <c r="E139" s="49"/>
      <c r="F139" s="49"/>
      <c r="G139" s="49"/>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40">
        <f t="shared" si="12"/>
        <v>0</v>
      </c>
      <c r="AM139" s="37">
        <f t="shared" si="13"/>
        <v>0</v>
      </c>
      <c r="AN139" s="37">
        <f t="shared" si="14"/>
        <v>0</v>
      </c>
      <c r="AO139" s="38" t="e">
        <f t="shared" si="15"/>
        <v>#DIV/0!</v>
      </c>
      <c r="AP139" s="38" t="e">
        <f t="shared" si="16"/>
        <v>#DIV/0!</v>
      </c>
      <c r="AQ139" s="39" t="e">
        <f t="shared" si="17"/>
        <v>#DIV/0!</v>
      </c>
    </row>
    <row r="140" spans="1:43" ht="20.100000000000001" customHeight="1" x14ac:dyDescent="0.25">
      <c r="A140" s="8">
        <v>138</v>
      </c>
      <c r="B140" s="48"/>
      <c r="C140" s="48"/>
      <c r="D140" s="48"/>
      <c r="E140" s="49"/>
      <c r="F140" s="49"/>
      <c r="G140" s="49"/>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40">
        <f t="shared" si="12"/>
        <v>0</v>
      </c>
      <c r="AM140" s="37">
        <f t="shared" si="13"/>
        <v>0</v>
      </c>
      <c r="AN140" s="37">
        <f t="shared" si="14"/>
        <v>0</v>
      </c>
      <c r="AO140" s="38" t="e">
        <f t="shared" si="15"/>
        <v>#DIV/0!</v>
      </c>
      <c r="AP140" s="38" t="e">
        <f t="shared" si="16"/>
        <v>#DIV/0!</v>
      </c>
      <c r="AQ140" s="39" t="e">
        <f t="shared" si="17"/>
        <v>#DIV/0!</v>
      </c>
    </row>
    <row r="141" spans="1:43" ht="20.100000000000001" customHeight="1" x14ac:dyDescent="0.25">
      <c r="A141" s="8">
        <v>139</v>
      </c>
      <c r="B141" s="48"/>
      <c r="C141" s="48"/>
      <c r="D141" s="48"/>
      <c r="E141" s="49"/>
      <c r="F141" s="49"/>
      <c r="G141" s="49"/>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40">
        <f t="shared" si="12"/>
        <v>0</v>
      </c>
      <c r="AM141" s="37">
        <f t="shared" si="13"/>
        <v>0</v>
      </c>
      <c r="AN141" s="37">
        <f t="shared" si="14"/>
        <v>0</v>
      </c>
      <c r="AO141" s="38" t="e">
        <f t="shared" si="15"/>
        <v>#DIV/0!</v>
      </c>
      <c r="AP141" s="38" t="e">
        <f t="shared" si="16"/>
        <v>#DIV/0!</v>
      </c>
      <c r="AQ141" s="39" t="e">
        <f t="shared" si="17"/>
        <v>#DIV/0!</v>
      </c>
    </row>
    <row r="142" spans="1:43" ht="20.100000000000001" customHeight="1" x14ac:dyDescent="0.25">
      <c r="A142" s="8">
        <v>140</v>
      </c>
      <c r="B142" s="48"/>
      <c r="C142" s="48"/>
      <c r="D142" s="48"/>
      <c r="E142" s="49"/>
      <c r="F142" s="49"/>
      <c r="G142" s="49"/>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40">
        <f t="shared" si="12"/>
        <v>0</v>
      </c>
      <c r="AM142" s="37">
        <f t="shared" si="13"/>
        <v>0</v>
      </c>
      <c r="AN142" s="37">
        <f t="shared" si="14"/>
        <v>0</v>
      </c>
      <c r="AO142" s="38" t="e">
        <f t="shared" si="15"/>
        <v>#DIV/0!</v>
      </c>
      <c r="AP142" s="38" t="e">
        <f t="shared" si="16"/>
        <v>#DIV/0!</v>
      </c>
      <c r="AQ142" s="39" t="e">
        <f t="shared" si="17"/>
        <v>#DIV/0!</v>
      </c>
    </row>
    <row r="143" spans="1:43" ht="20.100000000000001" customHeight="1" x14ac:dyDescent="0.25">
      <c r="A143" s="8">
        <v>141</v>
      </c>
      <c r="B143" s="48"/>
      <c r="C143" s="48"/>
      <c r="D143" s="48"/>
      <c r="E143" s="49"/>
      <c r="F143" s="49"/>
      <c r="G143" s="49"/>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40">
        <f t="shared" si="12"/>
        <v>0</v>
      </c>
      <c r="AM143" s="37">
        <f t="shared" si="13"/>
        <v>0</v>
      </c>
      <c r="AN143" s="37">
        <f t="shared" si="14"/>
        <v>0</v>
      </c>
      <c r="AO143" s="38" t="e">
        <f t="shared" si="15"/>
        <v>#DIV/0!</v>
      </c>
      <c r="AP143" s="38" t="e">
        <f t="shared" si="16"/>
        <v>#DIV/0!</v>
      </c>
      <c r="AQ143" s="39" t="e">
        <f t="shared" si="17"/>
        <v>#DIV/0!</v>
      </c>
    </row>
    <row r="144" spans="1:43" ht="20.100000000000001" customHeight="1" x14ac:dyDescent="0.25">
      <c r="A144" s="8">
        <v>142</v>
      </c>
      <c r="B144" s="48"/>
      <c r="C144" s="48"/>
      <c r="D144" s="48"/>
      <c r="E144" s="49"/>
      <c r="F144" s="49"/>
      <c r="G144" s="49"/>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40">
        <f t="shared" si="12"/>
        <v>0</v>
      </c>
      <c r="AM144" s="37">
        <f t="shared" si="13"/>
        <v>0</v>
      </c>
      <c r="AN144" s="37">
        <f t="shared" si="14"/>
        <v>0</v>
      </c>
      <c r="AO144" s="38" t="e">
        <f t="shared" si="15"/>
        <v>#DIV/0!</v>
      </c>
      <c r="AP144" s="38" t="e">
        <f t="shared" si="16"/>
        <v>#DIV/0!</v>
      </c>
      <c r="AQ144" s="39" t="e">
        <f t="shared" si="17"/>
        <v>#DIV/0!</v>
      </c>
    </row>
    <row r="145" spans="1:43" ht="20.100000000000001" customHeight="1" x14ac:dyDescent="0.25">
      <c r="A145" s="8">
        <v>143</v>
      </c>
      <c r="B145" s="48"/>
      <c r="C145" s="48"/>
      <c r="D145" s="48"/>
      <c r="E145" s="49"/>
      <c r="F145" s="49"/>
      <c r="G145" s="49"/>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40">
        <f t="shared" si="12"/>
        <v>0</v>
      </c>
      <c r="AM145" s="37">
        <f t="shared" si="13"/>
        <v>0</v>
      </c>
      <c r="AN145" s="37">
        <f t="shared" si="14"/>
        <v>0</v>
      </c>
      <c r="AO145" s="38" t="e">
        <f t="shared" si="15"/>
        <v>#DIV/0!</v>
      </c>
      <c r="AP145" s="38" t="e">
        <f t="shared" si="16"/>
        <v>#DIV/0!</v>
      </c>
      <c r="AQ145" s="39" t="e">
        <f t="shared" si="17"/>
        <v>#DIV/0!</v>
      </c>
    </row>
    <row r="146" spans="1:43" ht="20.100000000000001" customHeight="1" x14ac:dyDescent="0.25">
      <c r="A146" s="8">
        <v>144</v>
      </c>
      <c r="B146" s="48"/>
      <c r="C146" s="48"/>
      <c r="D146" s="48"/>
      <c r="E146" s="49"/>
      <c r="F146" s="49"/>
      <c r="G146" s="49"/>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40">
        <f t="shared" si="12"/>
        <v>0</v>
      </c>
      <c r="AM146" s="37">
        <f t="shared" si="13"/>
        <v>0</v>
      </c>
      <c r="AN146" s="37">
        <f t="shared" si="14"/>
        <v>0</v>
      </c>
      <c r="AO146" s="38" t="e">
        <f t="shared" si="15"/>
        <v>#DIV/0!</v>
      </c>
      <c r="AP146" s="38" t="e">
        <f t="shared" si="16"/>
        <v>#DIV/0!</v>
      </c>
      <c r="AQ146" s="39" t="e">
        <f t="shared" si="17"/>
        <v>#DIV/0!</v>
      </c>
    </row>
    <row r="147" spans="1:43" ht="20.100000000000001" customHeight="1" x14ac:dyDescent="0.25">
      <c r="A147" s="8">
        <v>145</v>
      </c>
      <c r="B147" s="48"/>
      <c r="C147" s="48"/>
      <c r="D147" s="48"/>
      <c r="E147" s="49"/>
      <c r="F147" s="49"/>
      <c r="G147" s="49"/>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40">
        <f t="shared" si="12"/>
        <v>0</v>
      </c>
      <c r="AM147" s="37">
        <f t="shared" si="13"/>
        <v>0</v>
      </c>
      <c r="AN147" s="37">
        <f t="shared" si="14"/>
        <v>0</v>
      </c>
      <c r="AO147" s="38" t="e">
        <f t="shared" si="15"/>
        <v>#DIV/0!</v>
      </c>
      <c r="AP147" s="38" t="e">
        <f t="shared" si="16"/>
        <v>#DIV/0!</v>
      </c>
      <c r="AQ147" s="39" t="e">
        <f t="shared" si="17"/>
        <v>#DIV/0!</v>
      </c>
    </row>
    <row r="148" spans="1:43" ht="20.100000000000001" customHeight="1" x14ac:dyDescent="0.25">
      <c r="A148" s="8">
        <v>146</v>
      </c>
      <c r="B148" s="48"/>
      <c r="C148" s="48"/>
      <c r="D148" s="48"/>
      <c r="E148" s="49"/>
      <c r="F148" s="49"/>
      <c r="G148" s="49"/>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40">
        <f t="shared" si="12"/>
        <v>0</v>
      </c>
      <c r="AM148" s="37">
        <f t="shared" si="13"/>
        <v>0</v>
      </c>
      <c r="AN148" s="37">
        <f t="shared" si="14"/>
        <v>0</v>
      </c>
      <c r="AO148" s="38" t="e">
        <f t="shared" si="15"/>
        <v>#DIV/0!</v>
      </c>
      <c r="AP148" s="38" t="e">
        <f t="shared" si="16"/>
        <v>#DIV/0!</v>
      </c>
      <c r="AQ148" s="39" t="e">
        <f t="shared" si="17"/>
        <v>#DIV/0!</v>
      </c>
    </row>
    <row r="149" spans="1:43" ht="20.100000000000001" customHeight="1" x14ac:dyDescent="0.25">
      <c r="A149" s="8">
        <v>147</v>
      </c>
      <c r="B149" s="48"/>
      <c r="C149" s="48"/>
      <c r="D149" s="48"/>
      <c r="E149" s="49"/>
      <c r="F149" s="49"/>
      <c r="G149" s="49"/>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40">
        <f t="shared" si="12"/>
        <v>0</v>
      </c>
      <c r="AM149" s="37">
        <f t="shared" si="13"/>
        <v>0</v>
      </c>
      <c r="AN149" s="37">
        <f t="shared" si="14"/>
        <v>0</v>
      </c>
      <c r="AO149" s="38" t="e">
        <f t="shared" si="15"/>
        <v>#DIV/0!</v>
      </c>
      <c r="AP149" s="38" t="e">
        <f t="shared" si="16"/>
        <v>#DIV/0!</v>
      </c>
      <c r="AQ149" s="39" t="e">
        <f t="shared" si="17"/>
        <v>#DIV/0!</v>
      </c>
    </row>
    <row r="150" spans="1:43" ht="20.100000000000001" customHeight="1" x14ac:dyDescent="0.25">
      <c r="A150" s="8">
        <v>148</v>
      </c>
      <c r="B150" s="48"/>
      <c r="C150" s="48"/>
      <c r="D150" s="48"/>
      <c r="E150" s="49"/>
      <c r="F150" s="49"/>
      <c r="G150" s="49"/>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40">
        <f t="shared" si="12"/>
        <v>0</v>
      </c>
      <c r="AM150" s="37">
        <f t="shared" si="13"/>
        <v>0</v>
      </c>
      <c r="AN150" s="37">
        <f t="shared" si="14"/>
        <v>0</v>
      </c>
      <c r="AO150" s="38" t="e">
        <f t="shared" si="15"/>
        <v>#DIV/0!</v>
      </c>
      <c r="AP150" s="38" t="e">
        <f t="shared" si="16"/>
        <v>#DIV/0!</v>
      </c>
      <c r="AQ150" s="39" t="e">
        <f t="shared" si="17"/>
        <v>#DIV/0!</v>
      </c>
    </row>
    <row r="151" spans="1:43" ht="20.100000000000001" customHeight="1" x14ac:dyDescent="0.25">
      <c r="A151" s="8">
        <v>149</v>
      </c>
      <c r="B151" s="48"/>
      <c r="C151" s="48"/>
      <c r="D151" s="48"/>
      <c r="E151" s="49"/>
      <c r="F151" s="49"/>
      <c r="G151" s="49"/>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40">
        <f t="shared" si="12"/>
        <v>0</v>
      </c>
      <c r="AM151" s="37">
        <f t="shared" si="13"/>
        <v>0</v>
      </c>
      <c r="AN151" s="37">
        <f t="shared" si="14"/>
        <v>0</v>
      </c>
      <c r="AO151" s="38" t="e">
        <f t="shared" si="15"/>
        <v>#DIV/0!</v>
      </c>
      <c r="AP151" s="38" t="e">
        <f t="shared" si="16"/>
        <v>#DIV/0!</v>
      </c>
      <c r="AQ151" s="39" t="e">
        <f t="shared" si="17"/>
        <v>#DIV/0!</v>
      </c>
    </row>
    <row r="152" spans="1:43" ht="20.100000000000001" customHeight="1" x14ac:dyDescent="0.25">
      <c r="A152" s="8">
        <v>150</v>
      </c>
      <c r="B152" s="48"/>
      <c r="C152" s="48"/>
      <c r="D152" s="48"/>
      <c r="E152" s="49"/>
      <c r="F152" s="49"/>
      <c r="G152" s="49"/>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40">
        <f t="shared" si="12"/>
        <v>0</v>
      </c>
      <c r="AM152" s="37">
        <f t="shared" si="13"/>
        <v>0</v>
      </c>
      <c r="AN152" s="37">
        <f t="shared" si="14"/>
        <v>0</v>
      </c>
      <c r="AO152" s="38" t="e">
        <f t="shared" si="15"/>
        <v>#DIV/0!</v>
      </c>
      <c r="AP152" s="38" t="e">
        <f t="shared" si="16"/>
        <v>#DIV/0!</v>
      </c>
      <c r="AQ152" s="39" t="e">
        <f t="shared" si="17"/>
        <v>#DIV/0!</v>
      </c>
    </row>
    <row r="153" spans="1:43" ht="20.100000000000001" customHeight="1" x14ac:dyDescent="0.25">
      <c r="A153" s="8">
        <v>151</v>
      </c>
      <c r="B153" s="48"/>
      <c r="C153" s="48"/>
      <c r="D153" s="48"/>
      <c r="E153" s="49"/>
      <c r="F153" s="49"/>
      <c r="G153" s="49"/>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40">
        <f t="shared" si="12"/>
        <v>0</v>
      </c>
      <c r="AM153" s="37">
        <f t="shared" si="13"/>
        <v>0</v>
      </c>
      <c r="AN153" s="37">
        <f t="shared" si="14"/>
        <v>0</v>
      </c>
      <c r="AO153" s="38" t="e">
        <f t="shared" si="15"/>
        <v>#DIV/0!</v>
      </c>
      <c r="AP153" s="38" t="e">
        <f t="shared" si="16"/>
        <v>#DIV/0!</v>
      </c>
      <c r="AQ153" s="39" t="e">
        <f t="shared" si="17"/>
        <v>#DIV/0!</v>
      </c>
    </row>
    <row r="154" spans="1:43" ht="20.100000000000001" customHeight="1" x14ac:dyDescent="0.25">
      <c r="A154" s="8">
        <v>152</v>
      </c>
      <c r="B154" s="48"/>
      <c r="C154" s="48"/>
      <c r="D154" s="48"/>
      <c r="E154" s="49"/>
      <c r="F154" s="49"/>
      <c r="G154" s="49"/>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40">
        <f t="shared" si="12"/>
        <v>0</v>
      </c>
      <c r="AM154" s="37">
        <f t="shared" si="13"/>
        <v>0</v>
      </c>
      <c r="AN154" s="37">
        <f t="shared" si="14"/>
        <v>0</v>
      </c>
      <c r="AO154" s="38" t="e">
        <f t="shared" si="15"/>
        <v>#DIV/0!</v>
      </c>
      <c r="AP154" s="38" t="e">
        <f t="shared" si="16"/>
        <v>#DIV/0!</v>
      </c>
      <c r="AQ154" s="39" t="e">
        <f t="shared" si="17"/>
        <v>#DIV/0!</v>
      </c>
    </row>
    <row r="155" spans="1:43" ht="20.100000000000001" customHeight="1" x14ac:dyDescent="0.25">
      <c r="A155" s="8">
        <v>153</v>
      </c>
      <c r="B155" s="48"/>
      <c r="C155" s="48"/>
      <c r="D155" s="48"/>
      <c r="E155" s="49"/>
      <c r="F155" s="49"/>
      <c r="G155" s="49"/>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40">
        <f t="shared" si="12"/>
        <v>0</v>
      </c>
      <c r="AM155" s="37">
        <f t="shared" si="13"/>
        <v>0</v>
      </c>
      <c r="AN155" s="37">
        <f t="shared" si="14"/>
        <v>0</v>
      </c>
      <c r="AO155" s="38" t="e">
        <f t="shared" si="15"/>
        <v>#DIV/0!</v>
      </c>
      <c r="AP155" s="38" t="e">
        <f t="shared" si="16"/>
        <v>#DIV/0!</v>
      </c>
      <c r="AQ155" s="39" t="e">
        <f t="shared" si="17"/>
        <v>#DIV/0!</v>
      </c>
    </row>
    <row r="156" spans="1:43" ht="20.100000000000001" customHeight="1" x14ac:dyDescent="0.25">
      <c r="A156" s="8">
        <v>154</v>
      </c>
      <c r="B156" s="48"/>
      <c r="C156" s="48"/>
      <c r="D156" s="48"/>
      <c r="E156" s="49"/>
      <c r="F156" s="49"/>
      <c r="G156" s="49"/>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8"/>
      <c r="AK156" s="88"/>
      <c r="AL156" s="40">
        <f t="shared" si="12"/>
        <v>0</v>
      </c>
      <c r="AM156" s="37">
        <f t="shared" si="13"/>
        <v>0</v>
      </c>
      <c r="AN156" s="37">
        <f t="shared" si="14"/>
        <v>0</v>
      </c>
      <c r="AO156" s="38" t="e">
        <f t="shared" si="15"/>
        <v>#DIV/0!</v>
      </c>
      <c r="AP156" s="38" t="e">
        <f t="shared" si="16"/>
        <v>#DIV/0!</v>
      </c>
      <c r="AQ156" s="39" t="e">
        <f t="shared" si="17"/>
        <v>#DIV/0!</v>
      </c>
    </row>
    <row r="157" spans="1:43" ht="20.100000000000001" customHeight="1" x14ac:dyDescent="0.25">
      <c r="A157" s="8">
        <v>155</v>
      </c>
      <c r="B157" s="48"/>
      <c r="C157" s="48"/>
      <c r="D157" s="48"/>
      <c r="E157" s="49"/>
      <c r="F157" s="49"/>
      <c r="G157" s="49"/>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8"/>
      <c r="AK157" s="88"/>
      <c r="AL157" s="40">
        <f t="shared" si="12"/>
        <v>0</v>
      </c>
      <c r="AM157" s="37">
        <f t="shared" si="13"/>
        <v>0</v>
      </c>
      <c r="AN157" s="37">
        <f t="shared" si="14"/>
        <v>0</v>
      </c>
      <c r="AO157" s="38" t="e">
        <f t="shared" si="15"/>
        <v>#DIV/0!</v>
      </c>
      <c r="AP157" s="38" t="e">
        <f t="shared" si="16"/>
        <v>#DIV/0!</v>
      </c>
      <c r="AQ157" s="39" t="e">
        <f t="shared" si="17"/>
        <v>#DIV/0!</v>
      </c>
    </row>
    <row r="158" spans="1:43" ht="20.100000000000001" customHeight="1" x14ac:dyDescent="0.25">
      <c r="A158" s="8">
        <v>156</v>
      </c>
      <c r="B158" s="48"/>
      <c r="C158" s="48"/>
      <c r="D158" s="48"/>
      <c r="E158" s="49"/>
      <c r="F158" s="49"/>
      <c r="G158" s="49"/>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8"/>
      <c r="AK158" s="88"/>
      <c r="AL158" s="40">
        <f t="shared" si="12"/>
        <v>0</v>
      </c>
      <c r="AM158" s="37">
        <f t="shared" si="13"/>
        <v>0</v>
      </c>
      <c r="AN158" s="37">
        <f t="shared" si="14"/>
        <v>0</v>
      </c>
      <c r="AO158" s="38" t="e">
        <f t="shared" si="15"/>
        <v>#DIV/0!</v>
      </c>
      <c r="AP158" s="38" t="e">
        <f t="shared" si="16"/>
        <v>#DIV/0!</v>
      </c>
      <c r="AQ158" s="39" t="e">
        <f t="shared" si="17"/>
        <v>#DIV/0!</v>
      </c>
    </row>
    <row r="159" spans="1:43" ht="20.100000000000001" customHeight="1" x14ac:dyDescent="0.25">
      <c r="A159" s="8">
        <v>157</v>
      </c>
      <c r="B159" s="48"/>
      <c r="C159" s="48"/>
      <c r="D159" s="48"/>
      <c r="E159" s="49"/>
      <c r="F159" s="49"/>
      <c r="G159" s="49"/>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8"/>
      <c r="AK159" s="88"/>
      <c r="AL159" s="40">
        <f t="shared" si="12"/>
        <v>0</v>
      </c>
      <c r="AM159" s="37">
        <f t="shared" si="13"/>
        <v>0</v>
      </c>
      <c r="AN159" s="37">
        <f t="shared" si="14"/>
        <v>0</v>
      </c>
      <c r="AO159" s="38" t="e">
        <f t="shared" si="15"/>
        <v>#DIV/0!</v>
      </c>
      <c r="AP159" s="38" t="e">
        <f t="shared" si="16"/>
        <v>#DIV/0!</v>
      </c>
      <c r="AQ159" s="39" t="e">
        <f t="shared" si="17"/>
        <v>#DIV/0!</v>
      </c>
    </row>
    <row r="160" spans="1:43" ht="20.100000000000001" customHeight="1" x14ac:dyDescent="0.25">
      <c r="A160" s="8">
        <v>158</v>
      </c>
      <c r="B160" s="48"/>
      <c r="C160" s="48"/>
      <c r="D160" s="48"/>
      <c r="E160" s="49"/>
      <c r="F160" s="49"/>
      <c r="G160" s="49"/>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8"/>
      <c r="AK160" s="88"/>
      <c r="AL160" s="40">
        <f t="shared" si="12"/>
        <v>0</v>
      </c>
      <c r="AM160" s="37">
        <f t="shared" si="13"/>
        <v>0</v>
      </c>
      <c r="AN160" s="37">
        <f t="shared" si="14"/>
        <v>0</v>
      </c>
      <c r="AO160" s="38" t="e">
        <f t="shared" si="15"/>
        <v>#DIV/0!</v>
      </c>
      <c r="AP160" s="38" t="e">
        <f t="shared" si="16"/>
        <v>#DIV/0!</v>
      </c>
      <c r="AQ160" s="39" t="e">
        <f t="shared" si="17"/>
        <v>#DIV/0!</v>
      </c>
    </row>
    <row r="161" spans="1:43" ht="20.100000000000001" customHeight="1" x14ac:dyDescent="0.25">
      <c r="A161" s="8">
        <v>159</v>
      </c>
      <c r="B161" s="48"/>
      <c r="C161" s="48"/>
      <c r="D161" s="48"/>
      <c r="E161" s="49"/>
      <c r="F161" s="49"/>
      <c r="G161" s="49"/>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8"/>
      <c r="AK161" s="88"/>
      <c r="AL161" s="40">
        <f t="shared" si="12"/>
        <v>0</v>
      </c>
      <c r="AM161" s="37">
        <f t="shared" si="13"/>
        <v>0</v>
      </c>
      <c r="AN161" s="37">
        <f t="shared" si="14"/>
        <v>0</v>
      </c>
      <c r="AO161" s="38" t="e">
        <f t="shared" si="15"/>
        <v>#DIV/0!</v>
      </c>
      <c r="AP161" s="38" t="e">
        <f t="shared" si="16"/>
        <v>#DIV/0!</v>
      </c>
      <c r="AQ161" s="39" t="e">
        <f t="shared" si="17"/>
        <v>#DIV/0!</v>
      </c>
    </row>
    <row r="162" spans="1:43" ht="20.100000000000001" customHeight="1" x14ac:dyDescent="0.25">
      <c r="A162" s="8">
        <v>160</v>
      </c>
      <c r="B162" s="48"/>
      <c r="C162" s="48"/>
      <c r="D162" s="48"/>
      <c r="E162" s="49"/>
      <c r="F162" s="49"/>
      <c r="G162" s="49"/>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8"/>
      <c r="AK162" s="88"/>
      <c r="AL162" s="40">
        <f t="shared" si="12"/>
        <v>0</v>
      </c>
      <c r="AM162" s="37">
        <f t="shared" si="13"/>
        <v>0</v>
      </c>
      <c r="AN162" s="37">
        <f t="shared" si="14"/>
        <v>0</v>
      </c>
      <c r="AO162" s="38" t="e">
        <f t="shared" si="15"/>
        <v>#DIV/0!</v>
      </c>
      <c r="AP162" s="38" t="e">
        <f t="shared" si="16"/>
        <v>#DIV/0!</v>
      </c>
      <c r="AQ162" s="39" t="e">
        <f t="shared" si="17"/>
        <v>#DIV/0!</v>
      </c>
    </row>
    <row r="163" spans="1:43" ht="20.100000000000001" customHeight="1" x14ac:dyDescent="0.25">
      <c r="A163" s="8">
        <v>161</v>
      </c>
      <c r="B163" s="48"/>
      <c r="C163" s="48"/>
      <c r="D163" s="48"/>
      <c r="E163" s="49"/>
      <c r="F163" s="49"/>
      <c r="G163" s="49"/>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8"/>
      <c r="AK163" s="88"/>
      <c r="AL163" s="40">
        <f t="shared" si="12"/>
        <v>0</v>
      </c>
      <c r="AM163" s="37">
        <f t="shared" si="13"/>
        <v>0</v>
      </c>
      <c r="AN163" s="37">
        <f t="shared" si="14"/>
        <v>0</v>
      </c>
      <c r="AO163" s="38" t="e">
        <f t="shared" si="15"/>
        <v>#DIV/0!</v>
      </c>
      <c r="AP163" s="38" t="e">
        <f t="shared" si="16"/>
        <v>#DIV/0!</v>
      </c>
      <c r="AQ163" s="39" t="e">
        <f t="shared" si="17"/>
        <v>#DIV/0!</v>
      </c>
    </row>
    <row r="164" spans="1:43" ht="20.100000000000001" customHeight="1" x14ac:dyDescent="0.25">
      <c r="A164" s="8">
        <v>162</v>
      </c>
      <c r="B164" s="48"/>
      <c r="C164" s="48"/>
      <c r="D164" s="48"/>
      <c r="E164" s="49"/>
      <c r="F164" s="49"/>
      <c r="G164" s="49"/>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8"/>
      <c r="AK164" s="88"/>
      <c r="AL164" s="40">
        <f t="shared" si="12"/>
        <v>0</v>
      </c>
      <c r="AM164" s="37">
        <f t="shared" si="13"/>
        <v>0</v>
      </c>
      <c r="AN164" s="37">
        <f t="shared" si="14"/>
        <v>0</v>
      </c>
      <c r="AO164" s="38" t="e">
        <f t="shared" si="15"/>
        <v>#DIV/0!</v>
      </c>
      <c r="AP164" s="38" t="e">
        <f t="shared" si="16"/>
        <v>#DIV/0!</v>
      </c>
      <c r="AQ164" s="39" t="e">
        <f t="shared" si="17"/>
        <v>#DIV/0!</v>
      </c>
    </row>
    <row r="165" spans="1:43" ht="20.100000000000001" customHeight="1" x14ac:dyDescent="0.25">
      <c r="A165" s="8">
        <v>163</v>
      </c>
      <c r="B165" s="48"/>
      <c r="C165" s="48"/>
      <c r="D165" s="48"/>
      <c r="E165" s="49"/>
      <c r="F165" s="49"/>
      <c r="G165" s="49"/>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8"/>
      <c r="AK165" s="88"/>
      <c r="AL165" s="40">
        <f t="shared" si="12"/>
        <v>0</v>
      </c>
      <c r="AM165" s="37">
        <f t="shared" si="13"/>
        <v>0</v>
      </c>
      <c r="AN165" s="37">
        <f t="shared" si="14"/>
        <v>0</v>
      </c>
      <c r="AO165" s="38" t="e">
        <f t="shared" si="15"/>
        <v>#DIV/0!</v>
      </c>
      <c r="AP165" s="38" t="e">
        <f t="shared" si="16"/>
        <v>#DIV/0!</v>
      </c>
      <c r="AQ165" s="39" t="e">
        <f t="shared" si="17"/>
        <v>#DIV/0!</v>
      </c>
    </row>
    <row r="166" spans="1:43" ht="20.100000000000001" customHeight="1" x14ac:dyDescent="0.25">
      <c r="A166" s="8">
        <v>164</v>
      </c>
      <c r="B166" s="48"/>
      <c r="C166" s="48"/>
      <c r="D166" s="48"/>
      <c r="E166" s="49"/>
      <c r="F166" s="49"/>
      <c r="G166" s="49"/>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8"/>
      <c r="AK166" s="88"/>
      <c r="AL166" s="40">
        <f t="shared" si="12"/>
        <v>0</v>
      </c>
      <c r="AM166" s="37">
        <f t="shared" si="13"/>
        <v>0</v>
      </c>
      <c r="AN166" s="37">
        <f t="shared" si="14"/>
        <v>0</v>
      </c>
      <c r="AO166" s="38" t="e">
        <f t="shared" si="15"/>
        <v>#DIV/0!</v>
      </c>
      <c r="AP166" s="38" t="e">
        <f t="shared" si="16"/>
        <v>#DIV/0!</v>
      </c>
      <c r="AQ166" s="39" t="e">
        <f t="shared" si="17"/>
        <v>#DIV/0!</v>
      </c>
    </row>
    <row r="167" spans="1:43" ht="20.100000000000001" customHeight="1" x14ac:dyDescent="0.25">
      <c r="A167" s="8">
        <v>165</v>
      </c>
      <c r="B167" s="48"/>
      <c r="C167" s="48"/>
      <c r="D167" s="48"/>
      <c r="E167" s="49"/>
      <c r="F167" s="49"/>
      <c r="G167" s="49"/>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8"/>
      <c r="AK167" s="88"/>
      <c r="AL167" s="40">
        <f t="shared" si="12"/>
        <v>0</v>
      </c>
      <c r="AM167" s="37">
        <f t="shared" si="13"/>
        <v>0</v>
      </c>
      <c r="AN167" s="37">
        <f t="shared" si="14"/>
        <v>0</v>
      </c>
      <c r="AO167" s="38" t="e">
        <f t="shared" si="15"/>
        <v>#DIV/0!</v>
      </c>
      <c r="AP167" s="38" t="e">
        <f t="shared" si="16"/>
        <v>#DIV/0!</v>
      </c>
      <c r="AQ167" s="39" t="e">
        <f t="shared" si="17"/>
        <v>#DIV/0!</v>
      </c>
    </row>
    <row r="168" spans="1:43" ht="20.100000000000001" customHeight="1" x14ac:dyDescent="0.25">
      <c r="A168" s="8">
        <v>166</v>
      </c>
      <c r="B168" s="48"/>
      <c r="C168" s="48"/>
      <c r="D168" s="48"/>
      <c r="E168" s="49"/>
      <c r="F168" s="49"/>
      <c r="G168" s="49"/>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8"/>
      <c r="AK168" s="88"/>
      <c r="AL168" s="40">
        <f t="shared" si="12"/>
        <v>0</v>
      </c>
      <c r="AM168" s="37">
        <f t="shared" si="13"/>
        <v>0</v>
      </c>
      <c r="AN168" s="37">
        <f t="shared" si="14"/>
        <v>0</v>
      </c>
      <c r="AO168" s="38" t="e">
        <f t="shared" si="15"/>
        <v>#DIV/0!</v>
      </c>
      <c r="AP168" s="38" t="e">
        <f t="shared" si="16"/>
        <v>#DIV/0!</v>
      </c>
      <c r="AQ168" s="39" t="e">
        <f t="shared" si="17"/>
        <v>#DIV/0!</v>
      </c>
    </row>
    <row r="169" spans="1:43" ht="20.100000000000001" customHeight="1" x14ac:dyDescent="0.25">
      <c r="A169" s="8">
        <v>167</v>
      </c>
      <c r="B169" s="48"/>
      <c r="C169" s="48"/>
      <c r="D169" s="48"/>
      <c r="E169" s="49"/>
      <c r="F169" s="49"/>
      <c r="G169" s="49"/>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40">
        <f t="shared" si="12"/>
        <v>0</v>
      </c>
      <c r="AM169" s="37">
        <f t="shared" si="13"/>
        <v>0</v>
      </c>
      <c r="AN169" s="37">
        <f t="shared" si="14"/>
        <v>0</v>
      </c>
      <c r="AO169" s="38" t="e">
        <f t="shared" si="15"/>
        <v>#DIV/0!</v>
      </c>
      <c r="AP169" s="38" t="e">
        <f t="shared" si="16"/>
        <v>#DIV/0!</v>
      </c>
      <c r="AQ169" s="39" t="e">
        <f t="shared" si="17"/>
        <v>#DIV/0!</v>
      </c>
    </row>
    <row r="170" spans="1:43" ht="20.100000000000001" customHeight="1" x14ac:dyDescent="0.25">
      <c r="A170" s="8">
        <v>168</v>
      </c>
      <c r="B170" s="48"/>
      <c r="C170" s="48"/>
      <c r="D170" s="48"/>
      <c r="E170" s="49"/>
      <c r="F170" s="49"/>
      <c r="G170" s="49"/>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40">
        <f t="shared" si="12"/>
        <v>0</v>
      </c>
      <c r="AM170" s="37">
        <f t="shared" si="13"/>
        <v>0</v>
      </c>
      <c r="AN170" s="37">
        <f t="shared" si="14"/>
        <v>0</v>
      </c>
      <c r="AO170" s="38" t="e">
        <f t="shared" si="15"/>
        <v>#DIV/0!</v>
      </c>
      <c r="AP170" s="38" t="e">
        <f t="shared" si="16"/>
        <v>#DIV/0!</v>
      </c>
      <c r="AQ170" s="39" t="e">
        <f t="shared" si="17"/>
        <v>#DIV/0!</v>
      </c>
    </row>
    <row r="171" spans="1:43" ht="20.100000000000001" customHeight="1" x14ac:dyDescent="0.25">
      <c r="A171" s="8">
        <v>169</v>
      </c>
      <c r="B171" s="48"/>
      <c r="C171" s="48"/>
      <c r="D171" s="48"/>
      <c r="E171" s="49"/>
      <c r="F171" s="49"/>
      <c r="G171" s="49"/>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40">
        <f t="shared" si="12"/>
        <v>0</v>
      </c>
      <c r="AM171" s="37">
        <f t="shared" si="13"/>
        <v>0</v>
      </c>
      <c r="AN171" s="37">
        <f t="shared" si="14"/>
        <v>0</v>
      </c>
      <c r="AO171" s="38" t="e">
        <f t="shared" si="15"/>
        <v>#DIV/0!</v>
      </c>
      <c r="AP171" s="38" t="e">
        <f t="shared" si="16"/>
        <v>#DIV/0!</v>
      </c>
      <c r="AQ171" s="39" t="e">
        <f t="shared" si="17"/>
        <v>#DIV/0!</v>
      </c>
    </row>
    <row r="172" spans="1:43" ht="20.100000000000001" customHeight="1" x14ac:dyDescent="0.25">
      <c r="A172" s="8">
        <v>170</v>
      </c>
      <c r="B172" s="48"/>
      <c r="C172" s="48"/>
      <c r="D172" s="48"/>
      <c r="E172" s="49"/>
      <c r="F172" s="49"/>
      <c r="G172" s="49"/>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40">
        <f t="shared" si="12"/>
        <v>0</v>
      </c>
      <c r="AM172" s="37">
        <f t="shared" si="13"/>
        <v>0</v>
      </c>
      <c r="AN172" s="37">
        <f t="shared" si="14"/>
        <v>0</v>
      </c>
      <c r="AO172" s="38" t="e">
        <f t="shared" si="15"/>
        <v>#DIV/0!</v>
      </c>
      <c r="AP172" s="38" t="e">
        <f t="shared" si="16"/>
        <v>#DIV/0!</v>
      </c>
      <c r="AQ172" s="39" t="e">
        <f t="shared" si="17"/>
        <v>#DIV/0!</v>
      </c>
    </row>
    <row r="173" spans="1:43" ht="20.100000000000001" customHeight="1" x14ac:dyDescent="0.25">
      <c r="A173" s="8">
        <v>171</v>
      </c>
      <c r="B173" s="48"/>
      <c r="C173" s="48"/>
      <c r="D173" s="48"/>
      <c r="E173" s="49"/>
      <c r="F173" s="49"/>
      <c r="G173" s="49"/>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8"/>
      <c r="AK173" s="88"/>
      <c r="AL173" s="40">
        <f t="shared" si="12"/>
        <v>0</v>
      </c>
      <c r="AM173" s="37">
        <f t="shared" si="13"/>
        <v>0</v>
      </c>
      <c r="AN173" s="37">
        <f t="shared" si="14"/>
        <v>0</v>
      </c>
      <c r="AO173" s="38" t="e">
        <f t="shared" si="15"/>
        <v>#DIV/0!</v>
      </c>
      <c r="AP173" s="38" t="e">
        <f t="shared" si="16"/>
        <v>#DIV/0!</v>
      </c>
      <c r="AQ173" s="39" t="e">
        <f t="shared" si="17"/>
        <v>#DIV/0!</v>
      </c>
    </row>
    <row r="174" spans="1:43" ht="20.100000000000001" customHeight="1" x14ac:dyDescent="0.25">
      <c r="A174" s="8">
        <v>172</v>
      </c>
      <c r="B174" s="48"/>
      <c r="C174" s="48"/>
      <c r="D174" s="48"/>
      <c r="E174" s="49"/>
      <c r="F174" s="49"/>
      <c r="G174" s="49"/>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8"/>
      <c r="AK174" s="88"/>
      <c r="AL174" s="40">
        <f t="shared" si="12"/>
        <v>0</v>
      </c>
      <c r="AM174" s="37">
        <f t="shared" si="13"/>
        <v>0</v>
      </c>
      <c r="AN174" s="37">
        <f t="shared" si="14"/>
        <v>0</v>
      </c>
      <c r="AO174" s="38" t="e">
        <f t="shared" si="15"/>
        <v>#DIV/0!</v>
      </c>
      <c r="AP174" s="38" t="e">
        <f t="shared" si="16"/>
        <v>#DIV/0!</v>
      </c>
      <c r="AQ174" s="39" t="e">
        <f t="shared" si="17"/>
        <v>#DIV/0!</v>
      </c>
    </row>
    <row r="175" spans="1:43" ht="20.100000000000001" customHeight="1" x14ac:dyDescent="0.25">
      <c r="A175" s="8">
        <v>173</v>
      </c>
      <c r="B175" s="48"/>
      <c r="C175" s="48"/>
      <c r="D175" s="48"/>
      <c r="E175" s="49"/>
      <c r="F175" s="49"/>
      <c r="G175" s="49"/>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40">
        <f t="shared" si="12"/>
        <v>0</v>
      </c>
      <c r="AM175" s="37">
        <f t="shared" si="13"/>
        <v>0</v>
      </c>
      <c r="AN175" s="37">
        <f t="shared" si="14"/>
        <v>0</v>
      </c>
      <c r="AO175" s="38" t="e">
        <f t="shared" si="15"/>
        <v>#DIV/0!</v>
      </c>
      <c r="AP175" s="38" t="e">
        <f t="shared" si="16"/>
        <v>#DIV/0!</v>
      </c>
      <c r="AQ175" s="39" t="e">
        <f t="shared" si="17"/>
        <v>#DIV/0!</v>
      </c>
    </row>
    <row r="176" spans="1:43" ht="20.100000000000001" customHeight="1" x14ac:dyDescent="0.25">
      <c r="A176" s="8">
        <v>174</v>
      </c>
      <c r="B176" s="48"/>
      <c r="C176" s="48"/>
      <c r="D176" s="48"/>
      <c r="E176" s="49"/>
      <c r="F176" s="49"/>
      <c r="G176" s="49"/>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8"/>
      <c r="AK176" s="88"/>
      <c r="AL176" s="40">
        <f t="shared" si="12"/>
        <v>0</v>
      </c>
      <c r="AM176" s="37">
        <f t="shared" si="13"/>
        <v>0</v>
      </c>
      <c r="AN176" s="37">
        <f t="shared" si="14"/>
        <v>0</v>
      </c>
      <c r="AO176" s="38" t="e">
        <f t="shared" si="15"/>
        <v>#DIV/0!</v>
      </c>
      <c r="AP176" s="38" t="e">
        <f t="shared" si="16"/>
        <v>#DIV/0!</v>
      </c>
      <c r="AQ176" s="39" t="e">
        <f t="shared" si="17"/>
        <v>#DIV/0!</v>
      </c>
    </row>
    <row r="177" spans="1:43" ht="20.100000000000001" customHeight="1" x14ac:dyDescent="0.25">
      <c r="A177" s="8">
        <v>175</v>
      </c>
      <c r="B177" s="48"/>
      <c r="C177" s="48"/>
      <c r="D177" s="48"/>
      <c r="E177" s="49"/>
      <c r="F177" s="49"/>
      <c r="G177" s="49"/>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40">
        <f t="shared" si="12"/>
        <v>0</v>
      </c>
      <c r="AM177" s="37">
        <f t="shared" si="13"/>
        <v>0</v>
      </c>
      <c r="AN177" s="37">
        <f t="shared" si="14"/>
        <v>0</v>
      </c>
      <c r="AO177" s="38" t="e">
        <f t="shared" si="15"/>
        <v>#DIV/0!</v>
      </c>
      <c r="AP177" s="38" t="e">
        <f t="shared" si="16"/>
        <v>#DIV/0!</v>
      </c>
      <c r="AQ177" s="39" t="e">
        <f t="shared" si="17"/>
        <v>#DIV/0!</v>
      </c>
    </row>
    <row r="178" spans="1:43" ht="20.100000000000001" customHeight="1" x14ac:dyDescent="0.25">
      <c r="A178" s="8">
        <v>176</v>
      </c>
      <c r="B178" s="48"/>
      <c r="C178" s="48"/>
      <c r="D178" s="48"/>
      <c r="E178" s="49"/>
      <c r="F178" s="49"/>
      <c r="G178" s="49"/>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40">
        <f t="shared" si="12"/>
        <v>0</v>
      </c>
      <c r="AM178" s="37">
        <f t="shared" si="13"/>
        <v>0</v>
      </c>
      <c r="AN178" s="37">
        <f t="shared" si="14"/>
        <v>0</v>
      </c>
      <c r="AO178" s="38" t="e">
        <f t="shared" si="15"/>
        <v>#DIV/0!</v>
      </c>
      <c r="AP178" s="38" t="e">
        <f t="shared" si="16"/>
        <v>#DIV/0!</v>
      </c>
      <c r="AQ178" s="39" t="e">
        <f t="shared" si="17"/>
        <v>#DIV/0!</v>
      </c>
    </row>
    <row r="179" spans="1:43" ht="20.100000000000001" customHeight="1" x14ac:dyDescent="0.25">
      <c r="A179" s="8">
        <v>177</v>
      </c>
      <c r="B179" s="48"/>
      <c r="C179" s="48"/>
      <c r="D179" s="48"/>
      <c r="E179" s="49"/>
      <c r="F179" s="49"/>
      <c r="G179" s="49"/>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40">
        <f t="shared" si="12"/>
        <v>0</v>
      </c>
      <c r="AM179" s="37">
        <f t="shared" si="13"/>
        <v>0</v>
      </c>
      <c r="AN179" s="37">
        <f t="shared" si="14"/>
        <v>0</v>
      </c>
      <c r="AO179" s="38" t="e">
        <f t="shared" si="15"/>
        <v>#DIV/0!</v>
      </c>
      <c r="AP179" s="38" t="e">
        <f t="shared" si="16"/>
        <v>#DIV/0!</v>
      </c>
      <c r="AQ179" s="39" t="e">
        <f t="shared" si="17"/>
        <v>#DIV/0!</v>
      </c>
    </row>
    <row r="180" spans="1:43" ht="20.100000000000001" customHeight="1" x14ac:dyDescent="0.25">
      <c r="A180" s="8">
        <v>178</v>
      </c>
      <c r="B180" s="48"/>
      <c r="C180" s="48"/>
      <c r="D180" s="48"/>
      <c r="E180" s="49"/>
      <c r="F180" s="49"/>
      <c r="G180" s="49"/>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40">
        <f t="shared" si="12"/>
        <v>0</v>
      </c>
      <c r="AM180" s="37">
        <f t="shared" si="13"/>
        <v>0</v>
      </c>
      <c r="AN180" s="37">
        <f t="shared" si="14"/>
        <v>0</v>
      </c>
      <c r="AO180" s="38" t="e">
        <f t="shared" si="15"/>
        <v>#DIV/0!</v>
      </c>
      <c r="AP180" s="38" t="e">
        <f t="shared" si="16"/>
        <v>#DIV/0!</v>
      </c>
      <c r="AQ180" s="39" t="e">
        <f t="shared" si="17"/>
        <v>#DIV/0!</v>
      </c>
    </row>
    <row r="181" spans="1:43" ht="20.100000000000001" customHeight="1" x14ac:dyDescent="0.25">
      <c r="A181" s="8">
        <v>179</v>
      </c>
      <c r="B181" s="48"/>
      <c r="C181" s="48"/>
      <c r="D181" s="48"/>
      <c r="E181" s="49"/>
      <c r="F181" s="49"/>
      <c r="G181" s="49"/>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40">
        <f t="shared" si="12"/>
        <v>0</v>
      </c>
      <c r="AM181" s="37">
        <f t="shared" si="13"/>
        <v>0</v>
      </c>
      <c r="AN181" s="37">
        <f t="shared" si="14"/>
        <v>0</v>
      </c>
      <c r="AO181" s="38" t="e">
        <f t="shared" si="15"/>
        <v>#DIV/0!</v>
      </c>
      <c r="AP181" s="38" t="e">
        <f t="shared" si="16"/>
        <v>#DIV/0!</v>
      </c>
      <c r="AQ181" s="39" t="e">
        <f t="shared" si="17"/>
        <v>#DIV/0!</v>
      </c>
    </row>
    <row r="182" spans="1:43" ht="20.100000000000001" customHeight="1" x14ac:dyDescent="0.25">
      <c r="A182" s="8">
        <v>180</v>
      </c>
      <c r="B182" s="48"/>
      <c r="C182" s="48"/>
      <c r="D182" s="48"/>
      <c r="E182" s="49"/>
      <c r="F182" s="49"/>
      <c r="G182" s="49"/>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40">
        <f t="shared" si="12"/>
        <v>0</v>
      </c>
      <c r="AM182" s="37">
        <f t="shared" si="13"/>
        <v>0</v>
      </c>
      <c r="AN182" s="37">
        <f t="shared" si="14"/>
        <v>0</v>
      </c>
      <c r="AO182" s="38" t="e">
        <f t="shared" si="15"/>
        <v>#DIV/0!</v>
      </c>
      <c r="AP182" s="38" t="e">
        <f t="shared" si="16"/>
        <v>#DIV/0!</v>
      </c>
      <c r="AQ182" s="39" t="e">
        <f t="shared" si="17"/>
        <v>#DIV/0!</v>
      </c>
    </row>
    <row r="183" spans="1:43" ht="20.100000000000001" customHeight="1" x14ac:dyDescent="0.25">
      <c r="A183" s="8">
        <v>181</v>
      </c>
      <c r="B183" s="48"/>
      <c r="C183" s="48"/>
      <c r="D183" s="48"/>
      <c r="E183" s="49"/>
      <c r="F183" s="49"/>
      <c r="G183" s="49"/>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40">
        <f t="shared" si="12"/>
        <v>0</v>
      </c>
      <c r="AM183" s="37">
        <f t="shared" si="13"/>
        <v>0</v>
      </c>
      <c r="AN183" s="37">
        <f t="shared" si="14"/>
        <v>0</v>
      </c>
      <c r="AO183" s="38" t="e">
        <f t="shared" si="15"/>
        <v>#DIV/0!</v>
      </c>
      <c r="AP183" s="38" t="e">
        <f t="shared" si="16"/>
        <v>#DIV/0!</v>
      </c>
      <c r="AQ183" s="39" t="e">
        <f t="shared" si="17"/>
        <v>#DIV/0!</v>
      </c>
    </row>
    <row r="184" spans="1:43" ht="20.100000000000001" customHeight="1" x14ac:dyDescent="0.25">
      <c r="A184" s="8">
        <v>182</v>
      </c>
      <c r="B184" s="48"/>
      <c r="C184" s="48"/>
      <c r="D184" s="48"/>
      <c r="E184" s="49"/>
      <c r="F184" s="49"/>
      <c r="G184" s="49"/>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40">
        <f t="shared" si="12"/>
        <v>0</v>
      </c>
      <c r="AM184" s="37">
        <f t="shared" si="13"/>
        <v>0</v>
      </c>
      <c r="AN184" s="37">
        <f t="shared" si="14"/>
        <v>0</v>
      </c>
      <c r="AO184" s="38" t="e">
        <f t="shared" si="15"/>
        <v>#DIV/0!</v>
      </c>
      <c r="AP184" s="38" t="e">
        <f t="shared" si="16"/>
        <v>#DIV/0!</v>
      </c>
      <c r="AQ184" s="39" t="e">
        <f t="shared" si="17"/>
        <v>#DIV/0!</v>
      </c>
    </row>
    <row r="185" spans="1:43" ht="20.100000000000001" customHeight="1" x14ac:dyDescent="0.25">
      <c r="A185" s="8">
        <v>183</v>
      </c>
      <c r="B185" s="48"/>
      <c r="C185" s="48"/>
      <c r="D185" s="48"/>
      <c r="E185" s="49"/>
      <c r="F185" s="49"/>
      <c r="G185" s="49"/>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40">
        <f t="shared" si="12"/>
        <v>0</v>
      </c>
      <c r="AM185" s="37">
        <f t="shared" si="13"/>
        <v>0</v>
      </c>
      <c r="AN185" s="37">
        <f t="shared" si="14"/>
        <v>0</v>
      </c>
      <c r="AO185" s="38" t="e">
        <f t="shared" si="15"/>
        <v>#DIV/0!</v>
      </c>
      <c r="AP185" s="38" t="e">
        <f t="shared" si="16"/>
        <v>#DIV/0!</v>
      </c>
      <c r="AQ185" s="39" t="e">
        <f t="shared" si="17"/>
        <v>#DIV/0!</v>
      </c>
    </row>
    <row r="186" spans="1:43" ht="20.100000000000001" customHeight="1" x14ac:dyDescent="0.25">
      <c r="A186" s="8">
        <v>184</v>
      </c>
      <c r="B186" s="48"/>
      <c r="C186" s="48"/>
      <c r="D186" s="48"/>
      <c r="E186" s="49"/>
      <c r="F186" s="49"/>
      <c r="G186" s="49"/>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40">
        <f t="shared" si="12"/>
        <v>0</v>
      </c>
      <c r="AM186" s="37">
        <f t="shared" si="13"/>
        <v>0</v>
      </c>
      <c r="AN186" s="37">
        <f t="shared" si="14"/>
        <v>0</v>
      </c>
      <c r="AO186" s="38" t="e">
        <f t="shared" si="15"/>
        <v>#DIV/0!</v>
      </c>
      <c r="AP186" s="38" t="e">
        <f t="shared" si="16"/>
        <v>#DIV/0!</v>
      </c>
      <c r="AQ186" s="39" t="e">
        <f t="shared" si="17"/>
        <v>#DIV/0!</v>
      </c>
    </row>
    <row r="187" spans="1:43" ht="20.100000000000001" customHeight="1" x14ac:dyDescent="0.25">
      <c r="A187" s="8">
        <v>185</v>
      </c>
      <c r="B187" s="48"/>
      <c r="C187" s="48"/>
      <c r="D187" s="48"/>
      <c r="E187" s="49"/>
      <c r="F187" s="49"/>
      <c r="G187" s="49"/>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40">
        <f t="shared" si="12"/>
        <v>0</v>
      </c>
      <c r="AM187" s="37">
        <f t="shared" si="13"/>
        <v>0</v>
      </c>
      <c r="AN187" s="37">
        <f t="shared" si="14"/>
        <v>0</v>
      </c>
      <c r="AO187" s="38" t="e">
        <f t="shared" si="15"/>
        <v>#DIV/0!</v>
      </c>
      <c r="AP187" s="38" t="e">
        <f t="shared" si="16"/>
        <v>#DIV/0!</v>
      </c>
      <c r="AQ187" s="39" t="e">
        <f t="shared" si="17"/>
        <v>#DIV/0!</v>
      </c>
    </row>
    <row r="188" spans="1:43" ht="20.100000000000001" customHeight="1" x14ac:dyDescent="0.25">
      <c r="A188" s="8">
        <v>186</v>
      </c>
      <c r="B188" s="48"/>
      <c r="C188" s="48"/>
      <c r="D188" s="48"/>
      <c r="E188" s="49"/>
      <c r="F188" s="49"/>
      <c r="G188" s="49"/>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40">
        <f t="shared" si="12"/>
        <v>0</v>
      </c>
      <c r="AM188" s="37">
        <f t="shared" si="13"/>
        <v>0</v>
      </c>
      <c r="AN188" s="37">
        <f t="shared" si="14"/>
        <v>0</v>
      </c>
      <c r="AO188" s="38" t="e">
        <f t="shared" si="15"/>
        <v>#DIV/0!</v>
      </c>
      <c r="AP188" s="38" t="e">
        <f t="shared" si="16"/>
        <v>#DIV/0!</v>
      </c>
      <c r="AQ188" s="39" t="e">
        <f t="shared" si="17"/>
        <v>#DIV/0!</v>
      </c>
    </row>
    <row r="189" spans="1:43" ht="20.100000000000001" customHeight="1" x14ac:dyDescent="0.25">
      <c r="A189" s="8">
        <v>187</v>
      </c>
      <c r="B189" s="48"/>
      <c r="C189" s="48"/>
      <c r="D189" s="48"/>
      <c r="E189" s="49"/>
      <c r="F189" s="49"/>
      <c r="G189" s="49"/>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40">
        <f t="shared" si="12"/>
        <v>0</v>
      </c>
      <c r="AM189" s="37">
        <f t="shared" si="13"/>
        <v>0</v>
      </c>
      <c r="AN189" s="37">
        <f t="shared" si="14"/>
        <v>0</v>
      </c>
      <c r="AO189" s="38" t="e">
        <f t="shared" si="15"/>
        <v>#DIV/0!</v>
      </c>
      <c r="AP189" s="38" t="e">
        <f t="shared" si="16"/>
        <v>#DIV/0!</v>
      </c>
      <c r="AQ189" s="39" t="e">
        <f t="shared" si="17"/>
        <v>#DIV/0!</v>
      </c>
    </row>
    <row r="190" spans="1:43" ht="20.100000000000001" customHeight="1" x14ac:dyDescent="0.25">
      <c r="A190" s="8">
        <v>188</v>
      </c>
      <c r="B190" s="48"/>
      <c r="C190" s="48"/>
      <c r="D190" s="48"/>
      <c r="E190" s="49"/>
      <c r="F190" s="49"/>
      <c r="G190" s="49"/>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40">
        <f t="shared" si="12"/>
        <v>0</v>
      </c>
      <c r="AM190" s="37">
        <f t="shared" si="13"/>
        <v>0</v>
      </c>
      <c r="AN190" s="37">
        <f t="shared" si="14"/>
        <v>0</v>
      </c>
      <c r="AO190" s="38" t="e">
        <f t="shared" si="15"/>
        <v>#DIV/0!</v>
      </c>
      <c r="AP190" s="38" t="e">
        <f t="shared" si="16"/>
        <v>#DIV/0!</v>
      </c>
      <c r="AQ190" s="39" t="e">
        <f t="shared" si="17"/>
        <v>#DIV/0!</v>
      </c>
    </row>
    <row r="191" spans="1:43" ht="20.100000000000001" customHeight="1" x14ac:dyDescent="0.25">
      <c r="A191" s="8">
        <v>189</v>
      </c>
      <c r="B191" s="48"/>
      <c r="C191" s="48"/>
      <c r="D191" s="48"/>
      <c r="E191" s="49"/>
      <c r="F191" s="49"/>
      <c r="G191" s="49"/>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8"/>
      <c r="AK191" s="88"/>
      <c r="AL191" s="40">
        <f t="shared" si="12"/>
        <v>0</v>
      </c>
      <c r="AM191" s="37">
        <f t="shared" si="13"/>
        <v>0</v>
      </c>
      <c r="AN191" s="37">
        <f t="shared" si="14"/>
        <v>0</v>
      </c>
      <c r="AO191" s="38" t="e">
        <f t="shared" si="15"/>
        <v>#DIV/0!</v>
      </c>
      <c r="AP191" s="38" t="e">
        <f t="shared" si="16"/>
        <v>#DIV/0!</v>
      </c>
      <c r="AQ191" s="39" t="e">
        <f t="shared" si="17"/>
        <v>#DIV/0!</v>
      </c>
    </row>
    <row r="192" spans="1:43" ht="20.100000000000001" customHeight="1" x14ac:dyDescent="0.25">
      <c r="A192" s="8">
        <v>190</v>
      </c>
      <c r="B192" s="48"/>
      <c r="C192" s="48"/>
      <c r="D192" s="48"/>
      <c r="E192" s="49"/>
      <c r="F192" s="49"/>
      <c r="G192" s="49"/>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40">
        <f t="shared" si="12"/>
        <v>0</v>
      </c>
      <c r="AM192" s="37">
        <f t="shared" si="13"/>
        <v>0</v>
      </c>
      <c r="AN192" s="37">
        <f t="shared" si="14"/>
        <v>0</v>
      </c>
      <c r="AO192" s="38" t="e">
        <f t="shared" si="15"/>
        <v>#DIV/0!</v>
      </c>
      <c r="AP192" s="38" t="e">
        <f t="shared" si="16"/>
        <v>#DIV/0!</v>
      </c>
      <c r="AQ192" s="39" t="e">
        <f t="shared" si="17"/>
        <v>#DIV/0!</v>
      </c>
    </row>
    <row r="193" spans="1:43" ht="20.100000000000001" customHeight="1" x14ac:dyDescent="0.25">
      <c r="A193" s="8">
        <v>191</v>
      </c>
      <c r="B193" s="48"/>
      <c r="C193" s="48"/>
      <c r="D193" s="48"/>
      <c r="E193" s="49"/>
      <c r="F193" s="49"/>
      <c r="G193" s="49"/>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8"/>
      <c r="AK193" s="88"/>
      <c r="AL193" s="40">
        <f t="shared" si="12"/>
        <v>0</v>
      </c>
      <c r="AM193" s="37">
        <f t="shared" si="13"/>
        <v>0</v>
      </c>
      <c r="AN193" s="37">
        <f t="shared" si="14"/>
        <v>0</v>
      </c>
      <c r="AO193" s="38" t="e">
        <f t="shared" si="15"/>
        <v>#DIV/0!</v>
      </c>
      <c r="AP193" s="38" t="e">
        <f t="shared" si="16"/>
        <v>#DIV/0!</v>
      </c>
      <c r="AQ193" s="39" t="e">
        <f t="shared" si="17"/>
        <v>#DIV/0!</v>
      </c>
    </row>
    <row r="194" spans="1:43" ht="20.100000000000001" customHeight="1" x14ac:dyDescent="0.25">
      <c r="A194" s="8">
        <v>192</v>
      </c>
      <c r="B194" s="48"/>
      <c r="C194" s="48"/>
      <c r="D194" s="48"/>
      <c r="E194" s="49"/>
      <c r="F194" s="49"/>
      <c r="G194" s="49"/>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40">
        <f t="shared" si="12"/>
        <v>0</v>
      </c>
      <c r="AM194" s="37">
        <f t="shared" si="13"/>
        <v>0</v>
      </c>
      <c r="AN194" s="37">
        <f t="shared" si="14"/>
        <v>0</v>
      </c>
      <c r="AO194" s="38" t="e">
        <f t="shared" si="15"/>
        <v>#DIV/0!</v>
      </c>
      <c r="AP194" s="38" t="e">
        <f t="shared" si="16"/>
        <v>#DIV/0!</v>
      </c>
      <c r="AQ194" s="39" t="e">
        <f t="shared" si="17"/>
        <v>#DIV/0!</v>
      </c>
    </row>
    <row r="195" spans="1:43" ht="20.100000000000001" customHeight="1" x14ac:dyDescent="0.25">
      <c r="A195" s="8">
        <v>193</v>
      </c>
      <c r="B195" s="48"/>
      <c r="C195" s="48"/>
      <c r="D195" s="48"/>
      <c r="E195" s="49"/>
      <c r="F195" s="49"/>
      <c r="G195" s="49"/>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40">
        <f t="shared" ref="AL195:AL258" si="18">COUNTIF($H195:$AK195,1)</f>
        <v>0</v>
      </c>
      <c r="AM195" s="37">
        <f t="shared" ref="AM195:AM258" si="19">COUNTIF($H195:$AK195,0)</f>
        <v>0</v>
      </c>
      <c r="AN195" s="37">
        <f t="shared" si="14"/>
        <v>0</v>
      </c>
      <c r="AO195" s="38" t="e">
        <f t="shared" si="15"/>
        <v>#DIV/0!</v>
      </c>
      <c r="AP195" s="38" t="e">
        <f t="shared" si="16"/>
        <v>#DIV/0!</v>
      </c>
      <c r="AQ195" s="39" t="e">
        <f t="shared" si="17"/>
        <v>#DIV/0!</v>
      </c>
    </row>
    <row r="196" spans="1:43" ht="20.100000000000001" customHeight="1" x14ac:dyDescent="0.25">
      <c r="A196" s="8">
        <v>194</v>
      </c>
      <c r="B196" s="48"/>
      <c r="C196" s="48"/>
      <c r="D196" s="48"/>
      <c r="E196" s="49"/>
      <c r="F196" s="49"/>
      <c r="G196" s="49"/>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40">
        <f t="shared" si="18"/>
        <v>0</v>
      </c>
      <c r="AM196" s="37">
        <f t="shared" si="19"/>
        <v>0</v>
      </c>
      <c r="AN196" s="37">
        <f t="shared" ref="AN196:AN259" si="20">SUM(AL196:AM196)</f>
        <v>0</v>
      </c>
      <c r="AO196" s="38" t="e">
        <f t="shared" ref="AO196:AO259" si="21">(AL196/AN196)*100</f>
        <v>#DIV/0!</v>
      </c>
      <c r="AP196" s="38" t="e">
        <f t="shared" ref="AP196:AP259" si="22">(AM196/AN196)*100</f>
        <v>#DIV/0!</v>
      </c>
      <c r="AQ196" s="39" t="e">
        <f t="shared" ref="AQ196:AQ259" si="23">SUM(AO196:AP196)</f>
        <v>#DIV/0!</v>
      </c>
    </row>
    <row r="197" spans="1:43" ht="20.100000000000001" customHeight="1" x14ac:dyDescent="0.25">
      <c r="A197" s="8">
        <v>195</v>
      </c>
      <c r="B197" s="48"/>
      <c r="C197" s="48"/>
      <c r="D197" s="48"/>
      <c r="E197" s="49"/>
      <c r="F197" s="49"/>
      <c r="G197" s="49"/>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40">
        <f t="shared" si="18"/>
        <v>0</v>
      </c>
      <c r="AM197" s="37">
        <f t="shared" si="19"/>
        <v>0</v>
      </c>
      <c r="AN197" s="37">
        <f t="shared" si="20"/>
        <v>0</v>
      </c>
      <c r="AO197" s="38" t="e">
        <f t="shared" si="21"/>
        <v>#DIV/0!</v>
      </c>
      <c r="AP197" s="38" t="e">
        <f t="shared" si="22"/>
        <v>#DIV/0!</v>
      </c>
      <c r="AQ197" s="39" t="e">
        <f t="shared" si="23"/>
        <v>#DIV/0!</v>
      </c>
    </row>
    <row r="198" spans="1:43" ht="20.100000000000001" customHeight="1" x14ac:dyDescent="0.25">
      <c r="A198" s="8">
        <v>196</v>
      </c>
      <c r="B198" s="48"/>
      <c r="C198" s="48"/>
      <c r="D198" s="48"/>
      <c r="E198" s="49"/>
      <c r="F198" s="49"/>
      <c r="G198" s="49"/>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40">
        <f t="shared" si="18"/>
        <v>0</v>
      </c>
      <c r="AM198" s="37">
        <f t="shared" si="19"/>
        <v>0</v>
      </c>
      <c r="AN198" s="37">
        <f t="shared" si="20"/>
        <v>0</v>
      </c>
      <c r="AO198" s="38" t="e">
        <f t="shared" si="21"/>
        <v>#DIV/0!</v>
      </c>
      <c r="AP198" s="38" t="e">
        <f t="shared" si="22"/>
        <v>#DIV/0!</v>
      </c>
      <c r="AQ198" s="39" t="e">
        <f t="shared" si="23"/>
        <v>#DIV/0!</v>
      </c>
    </row>
    <row r="199" spans="1:43" ht="20.100000000000001" customHeight="1" x14ac:dyDescent="0.25">
      <c r="A199" s="8">
        <v>197</v>
      </c>
      <c r="B199" s="48"/>
      <c r="C199" s="48"/>
      <c r="D199" s="48"/>
      <c r="E199" s="49"/>
      <c r="F199" s="49"/>
      <c r="G199" s="49"/>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40">
        <f t="shared" si="18"/>
        <v>0</v>
      </c>
      <c r="AM199" s="37">
        <f t="shared" si="19"/>
        <v>0</v>
      </c>
      <c r="AN199" s="37">
        <f t="shared" si="20"/>
        <v>0</v>
      </c>
      <c r="AO199" s="38" t="e">
        <f t="shared" si="21"/>
        <v>#DIV/0!</v>
      </c>
      <c r="AP199" s="38" t="e">
        <f t="shared" si="22"/>
        <v>#DIV/0!</v>
      </c>
      <c r="AQ199" s="39" t="e">
        <f t="shared" si="23"/>
        <v>#DIV/0!</v>
      </c>
    </row>
    <row r="200" spans="1:43" ht="20.100000000000001" customHeight="1" x14ac:dyDescent="0.25">
      <c r="A200" s="8">
        <v>198</v>
      </c>
      <c r="B200" s="48"/>
      <c r="C200" s="48"/>
      <c r="D200" s="48"/>
      <c r="E200" s="49"/>
      <c r="F200" s="49"/>
      <c r="G200" s="49"/>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40">
        <f t="shared" si="18"/>
        <v>0</v>
      </c>
      <c r="AM200" s="37">
        <f t="shared" si="19"/>
        <v>0</v>
      </c>
      <c r="AN200" s="37">
        <f t="shared" si="20"/>
        <v>0</v>
      </c>
      <c r="AO200" s="38" t="e">
        <f t="shared" si="21"/>
        <v>#DIV/0!</v>
      </c>
      <c r="AP200" s="38" t="e">
        <f t="shared" si="22"/>
        <v>#DIV/0!</v>
      </c>
      <c r="AQ200" s="39" t="e">
        <f t="shared" si="23"/>
        <v>#DIV/0!</v>
      </c>
    </row>
    <row r="201" spans="1:43" ht="20.100000000000001" customHeight="1" x14ac:dyDescent="0.25">
      <c r="A201" s="8">
        <v>199</v>
      </c>
      <c r="B201" s="48"/>
      <c r="C201" s="48"/>
      <c r="D201" s="48"/>
      <c r="E201" s="49"/>
      <c r="F201" s="49"/>
      <c r="G201" s="49"/>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40">
        <f t="shared" si="18"/>
        <v>0</v>
      </c>
      <c r="AM201" s="37">
        <f t="shared" si="19"/>
        <v>0</v>
      </c>
      <c r="AN201" s="37">
        <f t="shared" si="20"/>
        <v>0</v>
      </c>
      <c r="AO201" s="38" t="e">
        <f t="shared" si="21"/>
        <v>#DIV/0!</v>
      </c>
      <c r="AP201" s="38" t="e">
        <f t="shared" si="22"/>
        <v>#DIV/0!</v>
      </c>
      <c r="AQ201" s="39" t="e">
        <f t="shared" si="23"/>
        <v>#DIV/0!</v>
      </c>
    </row>
    <row r="202" spans="1:43" ht="20.100000000000001" customHeight="1" x14ac:dyDescent="0.25">
      <c r="A202" s="8">
        <v>200</v>
      </c>
      <c r="B202" s="48"/>
      <c r="C202" s="48"/>
      <c r="D202" s="48"/>
      <c r="E202" s="49"/>
      <c r="F202" s="49"/>
      <c r="G202" s="49"/>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40">
        <f t="shared" si="18"/>
        <v>0</v>
      </c>
      <c r="AM202" s="37">
        <f t="shared" si="19"/>
        <v>0</v>
      </c>
      <c r="AN202" s="37">
        <f t="shared" si="20"/>
        <v>0</v>
      </c>
      <c r="AO202" s="38" t="e">
        <f t="shared" si="21"/>
        <v>#DIV/0!</v>
      </c>
      <c r="AP202" s="38" t="e">
        <f t="shared" si="22"/>
        <v>#DIV/0!</v>
      </c>
      <c r="AQ202" s="39" t="e">
        <f t="shared" si="23"/>
        <v>#DIV/0!</v>
      </c>
    </row>
    <row r="203" spans="1:43" ht="20.100000000000001" customHeight="1" x14ac:dyDescent="0.25">
      <c r="A203" s="8">
        <v>201</v>
      </c>
      <c r="B203" s="48"/>
      <c r="C203" s="48"/>
      <c r="D203" s="48"/>
      <c r="E203" s="49"/>
      <c r="F203" s="49"/>
      <c r="G203" s="49"/>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40">
        <f t="shared" si="18"/>
        <v>0</v>
      </c>
      <c r="AM203" s="37">
        <f t="shared" si="19"/>
        <v>0</v>
      </c>
      <c r="AN203" s="37">
        <f t="shared" si="20"/>
        <v>0</v>
      </c>
      <c r="AO203" s="38" t="e">
        <f t="shared" si="21"/>
        <v>#DIV/0!</v>
      </c>
      <c r="AP203" s="38" t="e">
        <f t="shared" si="22"/>
        <v>#DIV/0!</v>
      </c>
      <c r="AQ203" s="39" t="e">
        <f t="shared" si="23"/>
        <v>#DIV/0!</v>
      </c>
    </row>
    <row r="204" spans="1:43" ht="20.100000000000001" customHeight="1" x14ac:dyDescent="0.25">
      <c r="A204" s="8">
        <v>202</v>
      </c>
      <c r="B204" s="48"/>
      <c r="C204" s="48"/>
      <c r="D204" s="48"/>
      <c r="E204" s="49"/>
      <c r="F204" s="49"/>
      <c r="G204" s="49"/>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40">
        <f t="shared" si="18"/>
        <v>0</v>
      </c>
      <c r="AM204" s="37">
        <f t="shared" si="19"/>
        <v>0</v>
      </c>
      <c r="AN204" s="37">
        <f t="shared" si="20"/>
        <v>0</v>
      </c>
      <c r="AO204" s="38" t="e">
        <f t="shared" si="21"/>
        <v>#DIV/0!</v>
      </c>
      <c r="AP204" s="38" t="e">
        <f t="shared" si="22"/>
        <v>#DIV/0!</v>
      </c>
      <c r="AQ204" s="39" t="e">
        <f t="shared" si="23"/>
        <v>#DIV/0!</v>
      </c>
    </row>
    <row r="205" spans="1:43" ht="20.100000000000001" customHeight="1" x14ac:dyDescent="0.25">
      <c r="A205" s="8">
        <v>203</v>
      </c>
      <c r="B205" s="48"/>
      <c r="C205" s="48"/>
      <c r="D205" s="48"/>
      <c r="E205" s="49"/>
      <c r="F205" s="49"/>
      <c r="G205" s="49"/>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40">
        <f t="shared" si="18"/>
        <v>0</v>
      </c>
      <c r="AM205" s="37">
        <f t="shared" si="19"/>
        <v>0</v>
      </c>
      <c r="AN205" s="37">
        <f t="shared" si="20"/>
        <v>0</v>
      </c>
      <c r="AO205" s="38" t="e">
        <f t="shared" si="21"/>
        <v>#DIV/0!</v>
      </c>
      <c r="AP205" s="38" t="e">
        <f t="shared" si="22"/>
        <v>#DIV/0!</v>
      </c>
      <c r="AQ205" s="39" t="e">
        <f t="shared" si="23"/>
        <v>#DIV/0!</v>
      </c>
    </row>
    <row r="206" spans="1:43" ht="20.100000000000001" customHeight="1" x14ac:dyDescent="0.25">
      <c r="A206" s="8">
        <v>204</v>
      </c>
      <c r="B206" s="48"/>
      <c r="C206" s="48"/>
      <c r="D206" s="48"/>
      <c r="E206" s="49"/>
      <c r="F206" s="49"/>
      <c r="G206" s="49"/>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40">
        <f t="shared" si="18"/>
        <v>0</v>
      </c>
      <c r="AM206" s="37">
        <f t="shared" si="19"/>
        <v>0</v>
      </c>
      <c r="AN206" s="37">
        <f t="shared" si="20"/>
        <v>0</v>
      </c>
      <c r="AO206" s="38" t="e">
        <f t="shared" si="21"/>
        <v>#DIV/0!</v>
      </c>
      <c r="AP206" s="38" t="e">
        <f t="shared" si="22"/>
        <v>#DIV/0!</v>
      </c>
      <c r="AQ206" s="39" t="e">
        <f t="shared" si="23"/>
        <v>#DIV/0!</v>
      </c>
    </row>
    <row r="207" spans="1:43" ht="20.100000000000001" customHeight="1" x14ac:dyDescent="0.25">
      <c r="A207" s="8">
        <v>205</v>
      </c>
      <c r="B207" s="48"/>
      <c r="C207" s="48"/>
      <c r="D207" s="48"/>
      <c r="E207" s="49"/>
      <c r="F207" s="49"/>
      <c r="G207" s="49"/>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8"/>
      <c r="AK207" s="88"/>
      <c r="AL207" s="40">
        <f t="shared" si="18"/>
        <v>0</v>
      </c>
      <c r="AM207" s="37">
        <f t="shared" si="19"/>
        <v>0</v>
      </c>
      <c r="AN207" s="37">
        <f t="shared" si="20"/>
        <v>0</v>
      </c>
      <c r="AO207" s="38" t="e">
        <f t="shared" si="21"/>
        <v>#DIV/0!</v>
      </c>
      <c r="AP207" s="38" t="e">
        <f t="shared" si="22"/>
        <v>#DIV/0!</v>
      </c>
      <c r="AQ207" s="39" t="e">
        <f t="shared" si="23"/>
        <v>#DIV/0!</v>
      </c>
    </row>
    <row r="208" spans="1:43" ht="20.100000000000001" customHeight="1" x14ac:dyDescent="0.25">
      <c r="A208" s="8">
        <v>206</v>
      </c>
      <c r="B208" s="48"/>
      <c r="C208" s="48"/>
      <c r="D208" s="48"/>
      <c r="E208" s="49"/>
      <c r="F208" s="49"/>
      <c r="G208" s="49"/>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40">
        <f t="shared" si="18"/>
        <v>0</v>
      </c>
      <c r="AM208" s="37">
        <f t="shared" si="19"/>
        <v>0</v>
      </c>
      <c r="AN208" s="37">
        <f t="shared" si="20"/>
        <v>0</v>
      </c>
      <c r="AO208" s="38" t="e">
        <f t="shared" si="21"/>
        <v>#DIV/0!</v>
      </c>
      <c r="AP208" s="38" t="e">
        <f t="shared" si="22"/>
        <v>#DIV/0!</v>
      </c>
      <c r="AQ208" s="39" t="e">
        <f t="shared" si="23"/>
        <v>#DIV/0!</v>
      </c>
    </row>
    <row r="209" spans="1:43" ht="20.100000000000001" customHeight="1" x14ac:dyDescent="0.25">
      <c r="A209" s="8">
        <v>207</v>
      </c>
      <c r="B209" s="48"/>
      <c r="C209" s="48"/>
      <c r="D209" s="48"/>
      <c r="E209" s="49"/>
      <c r="F209" s="49"/>
      <c r="G209" s="49"/>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40">
        <f t="shared" si="18"/>
        <v>0</v>
      </c>
      <c r="AM209" s="37">
        <f t="shared" si="19"/>
        <v>0</v>
      </c>
      <c r="AN209" s="37">
        <f t="shared" si="20"/>
        <v>0</v>
      </c>
      <c r="AO209" s="38" t="e">
        <f t="shared" si="21"/>
        <v>#DIV/0!</v>
      </c>
      <c r="AP209" s="38" t="e">
        <f t="shared" si="22"/>
        <v>#DIV/0!</v>
      </c>
      <c r="AQ209" s="39" t="e">
        <f t="shared" si="23"/>
        <v>#DIV/0!</v>
      </c>
    </row>
    <row r="210" spans="1:43" ht="20.100000000000001" customHeight="1" x14ac:dyDescent="0.25">
      <c r="A210" s="8">
        <v>208</v>
      </c>
      <c r="B210" s="48"/>
      <c r="C210" s="48"/>
      <c r="D210" s="48"/>
      <c r="E210" s="49"/>
      <c r="F210" s="49"/>
      <c r="G210" s="49"/>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8"/>
      <c r="AK210" s="88"/>
      <c r="AL210" s="40">
        <f t="shared" si="18"/>
        <v>0</v>
      </c>
      <c r="AM210" s="37">
        <f t="shared" si="19"/>
        <v>0</v>
      </c>
      <c r="AN210" s="37">
        <f t="shared" si="20"/>
        <v>0</v>
      </c>
      <c r="AO210" s="38" t="e">
        <f t="shared" si="21"/>
        <v>#DIV/0!</v>
      </c>
      <c r="AP210" s="38" t="e">
        <f t="shared" si="22"/>
        <v>#DIV/0!</v>
      </c>
      <c r="AQ210" s="39" t="e">
        <f t="shared" si="23"/>
        <v>#DIV/0!</v>
      </c>
    </row>
    <row r="211" spans="1:43" ht="20.100000000000001" customHeight="1" x14ac:dyDescent="0.25">
      <c r="A211" s="8">
        <v>209</v>
      </c>
      <c r="B211" s="48"/>
      <c r="C211" s="48"/>
      <c r="D211" s="48"/>
      <c r="E211" s="49"/>
      <c r="F211" s="49"/>
      <c r="G211" s="49"/>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40">
        <f t="shared" si="18"/>
        <v>0</v>
      </c>
      <c r="AM211" s="37">
        <f t="shared" si="19"/>
        <v>0</v>
      </c>
      <c r="AN211" s="37">
        <f t="shared" si="20"/>
        <v>0</v>
      </c>
      <c r="AO211" s="38" t="e">
        <f t="shared" si="21"/>
        <v>#DIV/0!</v>
      </c>
      <c r="AP211" s="38" t="e">
        <f t="shared" si="22"/>
        <v>#DIV/0!</v>
      </c>
      <c r="AQ211" s="39" t="e">
        <f t="shared" si="23"/>
        <v>#DIV/0!</v>
      </c>
    </row>
    <row r="212" spans="1:43" ht="20.100000000000001" customHeight="1" x14ac:dyDescent="0.25">
      <c r="A212" s="8">
        <v>210</v>
      </c>
      <c r="B212" s="48"/>
      <c r="C212" s="48"/>
      <c r="D212" s="48"/>
      <c r="E212" s="49"/>
      <c r="F212" s="49"/>
      <c r="G212" s="49"/>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40">
        <f t="shared" si="18"/>
        <v>0</v>
      </c>
      <c r="AM212" s="37">
        <f t="shared" si="19"/>
        <v>0</v>
      </c>
      <c r="AN212" s="37">
        <f t="shared" si="20"/>
        <v>0</v>
      </c>
      <c r="AO212" s="38" t="e">
        <f t="shared" si="21"/>
        <v>#DIV/0!</v>
      </c>
      <c r="AP212" s="38" t="e">
        <f t="shared" si="22"/>
        <v>#DIV/0!</v>
      </c>
      <c r="AQ212" s="39" t="e">
        <f t="shared" si="23"/>
        <v>#DIV/0!</v>
      </c>
    </row>
    <row r="213" spans="1:43" ht="20.100000000000001" customHeight="1" x14ac:dyDescent="0.25">
      <c r="A213" s="8">
        <v>211</v>
      </c>
      <c r="B213" s="48"/>
      <c r="C213" s="48"/>
      <c r="D213" s="48"/>
      <c r="E213" s="49"/>
      <c r="F213" s="49"/>
      <c r="G213" s="49"/>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40">
        <f t="shared" si="18"/>
        <v>0</v>
      </c>
      <c r="AM213" s="37">
        <f t="shared" si="19"/>
        <v>0</v>
      </c>
      <c r="AN213" s="37">
        <f t="shared" si="20"/>
        <v>0</v>
      </c>
      <c r="AO213" s="38" t="e">
        <f t="shared" si="21"/>
        <v>#DIV/0!</v>
      </c>
      <c r="AP213" s="38" t="e">
        <f t="shared" si="22"/>
        <v>#DIV/0!</v>
      </c>
      <c r="AQ213" s="39" t="e">
        <f t="shared" si="23"/>
        <v>#DIV/0!</v>
      </c>
    </row>
    <row r="214" spans="1:43" ht="20.100000000000001" customHeight="1" x14ac:dyDescent="0.25">
      <c r="A214" s="8">
        <v>212</v>
      </c>
      <c r="B214" s="48"/>
      <c r="C214" s="48"/>
      <c r="D214" s="48"/>
      <c r="E214" s="49"/>
      <c r="F214" s="49"/>
      <c r="G214" s="49"/>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40">
        <f t="shared" si="18"/>
        <v>0</v>
      </c>
      <c r="AM214" s="37">
        <f t="shared" si="19"/>
        <v>0</v>
      </c>
      <c r="AN214" s="37">
        <f t="shared" si="20"/>
        <v>0</v>
      </c>
      <c r="AO214" s="38" t="e">
        <f t="shared" si="21"/>
        <v>#DIV/0!</v>
      </c>
      <c r="AP214" s="38" t="e">
        <f t="shared" si="22"/>
        <v>#DIV/0!</v>
      </c>
      <c r="AQ214" s="39" t="e">
        <f t="shared" si="23"/>
        <v>#DIV/0!</v>
      </c>
    </row>
    <row r="215" spans="1:43" ht="20.100000000000001" customHeight="1" x14ac:dyDescent="0.25">
      <c r="A215" s="8">
        <v>213</v>
      </c>
      <c r="B215" s="48"/>
      <c r="C215" s="48"/>
      <c r="D215" s="48"/>
      <c r="E215" s="49"/>
      <c r="F215" s="49"/>
      <c r="G215" s="49"/>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40">
        <f t="shared" si="18"/>
        <v>0</v>
      </c>
      <c r="AM215" s="37">
        <f t="shared" si="19"/>
        <v>0</v>
      </c>
      <c r="AN215" s="37">
        <f t="shared" si="20"/>
        <v>0</v>
      </c>
      <c r="AO215" s="38" t="e">
        <f t="shared" si="21"/>
        <v>#DIV/0!</v>
      </c>
      <c r="AP215" s="38" t="e">
        <f t="shared" si="22"/>
        <v>#DIV/0!</v>
      </c>
      <c r="AQ215" s="39" t="e">
        <f t="shared" si="23"/>
        <v>#DIV/0!</v>
      </c>
    </row>
    <row r="216" spans="1:43" ht="20.100000000000001" customHeight="1" x14ac:dyDescent="0.25">
      <c r="A216" s="8">
        <v>214</v>
      </c>
      <c r="B216" s="48"/>
      <c r="C216" s="48"/>
      <c r="D216" s="48"/>
      <c r="E216" s="49"/>
      <c r="F216" s="49"/>
      <c r="G216" s="49"/>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40">
        <f t="shared" si="18"/>
        <v>0</v>
      </c>
      <c r="AM216" s="37">
        <f t="shared" si="19"/>
        <v>0</v>
      </c>
      <c r="AN216" s="37">
        <f t="shared" si="20"/>
        <v>0</v>
      </c>
      <c r="AO216" s="38" t="e">
        <f t="shared" si="21"/>
        <v>#DIV/0!</v>
      </c>
      <c r="AP216" s="38" t="e">
        <f t="shared" si="22"/>
        <v>#DIV/0!</v>
      </c>
      <c r="AQ216" s="39" t="e">
        <f t="shared" si="23"/>
        <v>#DIV/0!</v>
      </c>
    </row>
    <row r="217" spans="1:43" ht="20.100000000000001" customHeight="1" x14ac:dyDescent="0.25">
      <c r="A217" s="8">
        <v>215</v>
      </c>
      <c r="B217" s="48"/>
      <c r="C217" s="48"/>
      <c r="D217" s="48"/>
      <c r="E217" s="49"/>
      <c r="F217" s="49"/>
      <c r="G217" s="49"/>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40">
        <f t="shared" si="18"/>
        <v>0</v>
      </c>
      <c r="AM217" s="37">
        <f t="shared" si="19"/>
        <v>0</v>
      </c>
      <c r="AN217" s="37">
        <f t="shared" si="20"/>
        <v>0</v>
      </c>
      <c r="AO217" s="38" t="e">
        <f t="shared" si="21"/>
        <v>#DIV/0!</v>
      </c>
      <c r="AP217" s="38" t="e">
        <f t="shared" si="22"/>
        <v>#DIV/0!</v>
      </c>
      <c r="AQ217" s="39" t="e">
        <f t="shared" si="23"/>
        <v>#DIV/0!</v>
      </c>
    </row>
    <row r="218" spans="1:43" ht="20.100000000000001" customHeight="1" x14ac:dyDescent="0.25">
      <c r="A218" s="8">
        <v>216</v>
      </c>
      <c r="B218" s="48"/>
      <c r="C218" s="48"/>
      <c r="D218" s="48"/>
      <c r="E218" s="49"/>
      <c r="F218" s="49"/>
      <c r="G218" s="49"/>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40">
        <f t="shared" si="18"/>
        <v>0</v>
      </c>
      <c r="AM218" s="37">
        <f t="shared" si="19"/>
        <v>0</v>
      </c>
      <c r="AN218" s="37">
        <f t="shared" si="20"/>
        <v>0</v>
      </c>
      <c r="AO218" s="38" t="e">
        <f t="shared" si="21"/>
        <v>#DIV/0!</v>
      </c>
      <c r="AP218" s="38" t="e">
        <f t="shared" si="22"/>
        <v>#DIV/0!</v>
      </c>
      <c r="AQ218" s="39" t="e">
        <f t="shared" si="23"/>
        <v>#DIV/0!</v>
      </c>
    </row>
    <row r="219" spans="1:43" ht="20.100000000000001" customHeight="1" x14ac:dyDescent="0.25">
      <c r="A219" s="8">
        <v>217</v>
      </c>
      <c r="B219" s="48"/>
      <c r="C219" s="48"/>
      <c r="D219" s="48"/>
      <c r="E219" s="49"/>
      <c r="F219" s="49"/>
      <c r="G219" s="49"/>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40">
        <f t="shared" si="18"/>
        <v>0</v>
      </c>
      <c r="AM219" s="37">
        <f t="shared" si="19"/>
        <v>0</v>
      </c>
      <c r="AN219" s="37">
        <f t="shared" si="20"/>
        <v>0</v>
      </c>
      <c r="AO219" s="38" t="e">
        <f t="shared" si="21"/>
        <v>#DIV/0!</v>
      </c>
      <c r="AP219" s="38" t="e">
        <f t="shared" si="22"/>
        <v>#DIV/0!</v>
      </c>
      <c r="AQ219" s="39" t="e">
        <f t="shared" si="23"/>
        <v>#DIV/0!</v>
      </c>
    </row>
    <row r="220" spans="1:43" ht="20.100000000000001" customHeight="1" x14ac:dyDescent="0.25">
      <c r="A220" s="8">
        <v>218</v>
      </c>
      <c r="B220" s="48"/>
      <c r="C220" s="48"/>
      <c r="D220" s="48"/>
      <c r="E220" s="49"/>
      <c r="F220" s="49"/>
      <c r="G220" s="49"/>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40">
        <f t="shared" si="18"/>
        <v>0</v>
      </c>
      <c r="AM220" s="37">
        <f t="shared" si="19"/>
        <v>0</v>
      </c>
      <c r="AN220" s="37">
        <f t="shared" si="20"/>
        <v>0</v>
      </c>
      <c r="AO220" s="38" t="e">
        <f t="shared" si="21"/>
        <v>#DIV/0!</v>
      </c>
      <c r="AP220" s="38" t="e">
        <f t="shared" si="22"/>
        <v>#DIV/0!</v>
      </c>
      <c r="AQ220" s="39" t="e">
        <f t="shared" si="23"/>
        <v>#DIV/0!</v>
      </c>
    </row>
    <row r="221" spans="1:43" ht="20.100000000000001" customHeight="1" x14ac:dyDescent="0.25">
      <c r="A221" s="8">
        <v>219</v>
      </c>
      <c r="B221" s="48"/>
      <c r="C221" s="48"/>
      <c r="D221" s="48"/>
      <c r="E221" s="49"/>
      <c r="F221" s="49"/>
      <c r="G221" s="49"/>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40">
        <f t="shared" si="18"/>
        <v>0</v>
      </c>
      <c r="AM221" s="37">
        <f t="shared" si="19"/>
        <v>0</v>
      </c>
      <c r="AN221" s="37">
        <f t="shared" si="20"/>
        <v>0</v>
      </c>
      <c r="AO221" s="38" t="e">
        <f t="shared" si="21"/>
        <v>#DIV/0!</v>
      </c>
      <c r="AP221" s="38" t="e">
        <f t="shared" si="22"/>
        <v>#DIV/0!</v>
      </c>
      <c r="AQ221" s="39" t="e">
        <f t="shared" si="23"/>
        <v>#DIV/0!</v>
      </c>
    </row>
    <row r="222" spans="1:43" ht="20.100000000000001" customHeight="1" x14ac:dyDescent="0.25">
      <c r="A222" s="8">
        <v>220</v>
      </c>
      <c r="B222" s="48"/>
      <c r="C222" s="48"/>
      <c r="D222" s="48"/>
      <c r="E222" s="49"/>
      <c r="F222" s="49"/>
      <c r="G222" s="49"/>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40">
        <f t="shared" si="18"/>
        <v>0</v>
      </c>
      <c r="AM222" s="37">
        <f t="shared" si="19"/>
        <v>0</v>
      </c>
      <c r="AN222" s="37">
        <f t="shared" si="20"/>
        <v>0</v>
      </c>
      <c r="AO222" s="38" t="e">
        <f t="shared" si="21"/>
        <v>#DIV/0!</v>
      </c>
      <c r="AP222" s="38" t="e">
        <f t="shared" si="22"/>
        <v>#DIV/0!</v>
      </c>
      <c r="AQ222" s="39" t="e">
        <f t="shared" si="23"/>
        <v>#DIV/0!</v>
      </c>
    </row>
    <row r="223" spans="1:43" ht="20.100000000000001" customHeight="1" x14ac:dyDescent="0.25">
      <c r="A223" s="8">
        <v>221</v>
      </c>
      <c r="B223" s="48"/>
      <c r="C223" s="48"/>
      <c r="D223" s="48"/>
      <c r="E223" s="49"/>
      <c r="F223" s="49"/>
      <c r="G223" s="49"/>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40">
        <f t="shared" si="18"/>
        <v>0</v>
      </c>
      <c r="AM223" s="37">
        <f t="shared" si="19"/>
        <v>0</v>
      </c>
      <c r="AN223" s="37">
        <f t="shared" si="20"/>
        <v>0</v>
      </c>
      <c r="AO223" s="38" t="e">
        <f t="shared" si="21"/>
        <v>#DIV/0!</v>
      </c>
      <c r="AP223" s="38" t="e">
        <f t="shared" si="22"/>
        <v>#DIV/0!</v>
      </c>
      <c r="AQ223" s="39" t="e">
        <f t="shared" si="23"/>
        <v>#DIV/0!</v>
      </c>
    </row>
    <row r="224" spans="1:43" ht="20.100000000000001" customHeight="1" x14ac:dyDescent="0.25">
      <c r="A224" s="8">
        <v>222</v>
      </c>
      <c r="B224" s="48"/>
      <c r="C224" s="48"/>
      <c r="D224" s="48"/>
      <c r="E224" s="49"/>
      <c r="F224" s="49"/>
      <c r="G224" s="49"/>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8"/>
      <c r="AK224" s="88"/>
      <c r="AL224" s="40">
        <f t="shared" si="18"/>
        <v>0</v>
      </c>
      <c r="AM224" s="37">
        <f t="shared" si="19"/>
        <v>0</v>
      </c>
      <c r="AN224" s="37">
        <f t="shared" si="20"/>
        <v>0</v>
      </c>
      <c r="AO224" s="38" t="e">
        <f t="shared" si="21"/>
        <v>#DIV/0!</v>
      </c>
      <c r="AP224" s="38" t="e">
        <f t="shared" si="22"/>
        <v>#DIV/0!</v>
      </c>
      <c r="AQ224" s="39" t="e">
        <f t="shared" si="23"/>
        <v>#DIV/0!</v>
      </c>
    </row>
    <row r="225" spans="1:43" ht="20.100000000000001" customHeight="1" x14ac:dyDescent="0.25">
      <c r="A225" s="8">
        <v>223</v>
      </c>
      <c r="B225" s="48"/>
      <c r="C225" s="48"/>
      <c r="D225" s="48"/>
      <c r="E225" s="49"/>
      <c r="F225" s="49"/>
      <c r="G225" s="49"/>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40">
        <f t="shared" si="18"/>
        <v>0</v>
      </c>
      <c r="AM225" s="37">
        <f t="shared" si="19"/>
        <v>0</v>
      </c>
      <c r="AN225" s="37">
        <f t="shared" si="20"/>
        <v>0</v>
      </c>
      <c r="AO225" s="38" t="e">
        <f t="shared" si="21"/>
        <v>#DIV/0!</v>
      </c>
      <c r="AP225" s="38" t="e">
        <f t="shared" si="22"/>
        <v>#DIV/0!</v>
      </c>
      <c r="AQ225" s="39" t="e">
        <f t="shared" si="23"/>
        <v>#DIV/0!</v>
      </c>
    </row>
    <row r="226" spans="1:43" ht="20.100000000000001" customHeight="1" x14ac:dyDescent="0.25">
      <c r="A226" s="8">
        <v>224</v>
      </c>
      <c r="B226" s="48"/>
      <c r="C226" s="48"/>
      <c r="D226" s="48"/>
      <c r="E226" s="49"/>
      <c r="F226" s="49"/>
      <c r="G226" s="49"/>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40">
        <f t="shared" si="18"/>
        <v>0</v>
      </c>
      <c r="AM226" s="37">
        <f t="shared" si="19"/>
        <v>0</v>
      </c>
      <c r="AN226" s="37">
        <f t="shared" si="20"/>
        <v>0</v>
      </c>
      <c r="AO226" s="38" t="e">
        <f t="shared" si="21"/>
        <v>#DIV/0!</v>
      </c>
      <c r="AP226" s="38" t="e">
        <f t="shared" si="22"/>
        <v>#DIV/0!</v>
      </c>
      <c r="AQ226" s="39" t="e">
        <f t="shared" si="23"/>
        <v>#DIV/0!</v>
      </c>
    </row>
    <row r="227" spans="1:43" ht="20.100000000000001" customHeight="1" x14ac:dyDescent="0.25">
      <c r="A227" s="8">
        <v>225</v>
      </c>
      <c r="B227" s="48"/>
      <c r="C227" s="48"/>
      <c r="D227" s="48"/>
      <c r="E227" s="49"/>
      <c r="F227" s="49"/>
      <c r="G227" s="49"/>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40">
        <f t="shared" si="18"/>
        <v>0</v>
      </c>
      <c r="AM227" s="37">
        <f t="shared" si="19"/>
        <v>0</v>
      </c>
      <c r="AN227" s="37">
        <f t="shared" si="20"/>
        <v>0</v>
      </c>
      <c r="AO227" s="38" t="e">
        <f t="shared" si="21"/>
        <v>#DIV/0!</v>
      </c>
      <c r="AP227" s="38" t="e">
        <f t="shared" si="22"/>
        <v>#DIV/0!</v>
      </c>
      <c r="AQ227" s="39" t="e">
        <f t="shared" si="23"/>
        <v>#DIV/0!</v>
      </c>
    </row>
    <row r="228" spans="1:43" ht="20.100000000000001" customHeight="1" x14ac:dyDescent="0.25">
      <c r="A228" s="8">
        <v>226</v>
      </c>
      <c r="B228" s="48"/>
      <c r="C228" s="48"/>
      <c r="D228" s="48"/>
      <c r="E228" s="49"/>
      <c r="F228" s="49"/>
      <c r="G228" s="49"/>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40">
        <f t="shared" si="18"/>
        <v>0</v>
      </c>
      <c r="AM228" s="37">
        <f t="shared" si="19"/>
        <v>0</v>
      </c>
      <c r="AN228" s="37">
        <f t="shared" si="20"/>
        <v>0</v>
      </c>
      <c r="AO228" s="38" t="e">
        <f t="shared" si="21"/>
        <v>#DIV/0!</v>
      </c>
      <c r="AP228" s="38" t="e">
        <f t="shared" si="22"/>
        <v>#DIV/0!</v>
      </c>
      <c r="AQ228" s="39" t="e">
        <f t="shared" si="23"/>
        <v>#DIV/0!</v>
      </c>
    </row>
    <row r="229" spans="1:43" ht="20.100000000000001" customHeight="1" x14ac:dyDescent="0.25">
      <c r="A229" s="8">
        <v>227</v>
      </c>
      <c r="B229" s="48"/>
      <c r="C229" s="48"/>
      <c r="D229" s="48"/>
      <c r="E229" s="49"/>
      <c r="F229" s="49"/>
      <c r="G229" s="49"/>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40">
        <f t="shared" si="18"/>
        <v>0</v>
      </c>
      <c r="AM229" s="37">
        <f t="shared" si="19"/>
        <v>0</v>
      </c>
      <c r="AN229" s="37">
        <f t="shared" si="20"/>
        <v>0</v>
      </c>
      <c r="AO229" s="38" t="e">
        <f t="shared" si="21"/>
        <v>#DIV/0!</v>
      </c>
      <c r="AP229" s="38" t="e">
        <f t="shared" si="22"/>
        <v>#DIV/0!</v>
      </c>
      <c r="AQ229" s="39" t="e">
        <f t="shared" si="23"/>
        <v>#DIV/0!</v>
      </c>
    </row>
    <row r="230" spans="1:43" ht="20.100000000000001" customHeight="1" x14ac:dyDescent="0.25">
      <c r="A230" s="8">
        <v>228</v>
      </c>
      <c r="B230" s="48"/>
      <c r="C230" s="48"/>
      <c r="D230" s="48"/>
      <c r="E230" s="49"/>
      <c r="F230" s="49"/>
      <c r="G230" s="49"/>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40">
        <f t="shared" si="18"/>
        <v>0</v>
      </c>
      <c r="AM230" s="37">
        <f t="shared" si="19"/>
        <v>0</v>
      </c>
      <c r="AN230" s="37">
        <f t="shared" si="20"/>
        <v>0</v>
      </c>
      <c r="AO230" s="38" t="e">
        <f t="shared" si="21"/>
        <v>#DIV/0!</v>
      </c>
      <c r="AP230" s="38" t="e">
        <f t="shared" si="22"/>
        <v>#DIV/0!</v>
      </c>
      <c r="AQ230" s="39" t="e">
        <f t="shared" si="23"/>
        <v>#DIV/0!</v>
      </c>
    </row>
    <row r="231" spans="1:43" ht="20.100000000000001" customHeight="1" x14ac:dyDescent="0.25">
      <c r="A231" s="8">
        <v>229</v>
      </c>
      <c r="B231" s="48"/>
      <c r="C231" s="48"/>
      <c r="D231" s="48"/>
      <c r="E231" s="49"/>
      <c r="F231" s="49"/>
      <c r="G231" s="49"/>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40">
        <f t="shared" si="18"/>
        <v>0</v>
      </c>
      <c r="AM231" s="37">
        <f t="shared" si="19"/>
        <v>0</v>
      </c>
      <c r="AN231" s="37">
        <f t="shared" si="20"/>
        <v>0</v>
      </c>
      <c r="AO231" s="38" t="e">
        <f t="shared" si="21"/>
        <v>#DIV/0!</v>
      </c>
      <c r="AP231" s="38" t="e">
        <f t="shared" si="22"/>
        <v>#DIV/0!</v>
      </c>
      <c r="AQ231" s="39" t="e">
        <f t="shared" si="23"/>
        <v>#DIV/0!</v>
      </c>
    </row>
    <row r="232" spans="1:43" ht="20.100000000000001" customHeight="1" x14ac:dyDescent="0.25">
      <c r="A232" s="8">
        <v>230</v>
      </c>
      <c r="B232" s="48"/>
      <c r="C232" s="48"/>
      <c r="D232" s="48"/>
      <c r="E232" s="49"/>
      <c r="F232" s="49"/>
      <c r="G232" s="49"/>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40">
        <f t="shared" si="18"/>
        <v>0</v>
      </c>
      <c r="AM232" s="37">
        <f t="shared" si="19"/>
        <v>0</v>
      </c>
      <c r="AN232" s="37">
        <f t="shared" si="20"/>
        <v>0</v>
      </c>
      <c r="AO232" s="38" t="e">
        <f t="shared" si="21"/>
        <v>#DIV/0!</v>
      </c>
      <c r="AP232" s="38" t="e">
        <f t="shared" si="22"/>
        <v>#DIV/0!</v>
      </c>
      <c r="AQ232" s="39" t="e">
        <f t="shared" si="23"/>
        <v>#DIV/0!</v>
      </c>
    </row>
    <row r="233" spans="1:43" ht="20.100000000000001" customHeight="1" x14ac:dyDescent="0.25">
      <c r="A233" s="8">
        <v>231</v>
      </c>
      <c r="B233" s="48"/>
      <c r="C233" s="48"/>
      <c r="D233" s="48"/>
      <c r="E233" s="49"/>
      <c r="F233" s="49"/>
      <c r="G233" s="49"/>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40">
        <f t="shared" si="18"/>
        <v>0</v>
      </c>
      <c r="AM233" s="37">
        <f t="shared" si="19"/>
        <v>0</v>
      </c>
      <c r="AN233" s="37">
        <f t="shared" si="20"/>
        <v>0</v>
      </c>
      <c r="AO233" s="38" t="e">
        <f t="shared" si="21"/>
        <v>#DIV/0!</v>
      </c>
      <c r="AP233" s="38" t="e">
        <f t="shared" si="22"/>
        <v>#DIV/0!</v>
      </c>
      <c r="AQ233" s="39" t="e">
        <f t="shared" si="23"/>
        <v>#DIV/0!</v>
      </c>
    </row>
    <row r="234" spans="1:43" ht="20.100000000000001" customHeight="1" x14ac:dyDescent="0.25">
      <c r="A234" s="8">
        <v>232</v>
      </c>
      <c r="B234" s="48"/>
      <c r="C234" s="48"/>
      <c r="D234" s="48"/>
      <c r="E234" s="49"/>
      <c r="F234" s="49"/>
      <c r="G234" s="49"/>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40">
        <f t="shared" si="18"/>
        <v>0</v>
      </c>
      <c r="AM234" s="37">
        <f t="shared" si="19"/>
        <v>0</v>
      </c>
      <c r="AN234" s="37">
        <f t="shared" si="20"/>
        <v>0</v>
      </c>
      <c r="AO234" s="38" t="e">
        <f t="shared" si="21"/>
        <v>#DIV/0!</v>
      </c>
      <c r="AP234" s="38" t="e">
        <f t="shared" si="22"/>
        <v>#DIV/0!</v>
      </c>
      <c r="AQ234" s="39" t="e">
        <f t="shared" si="23"/>
        <v>#DIV/0!</v>
      </c>
    </row>
    <row r="235" spans="1:43" ht="20.100000000000001" customHeight="1" x14ac:dyDescent="0.25">
      <c r="A235" s="8">
        <v>233</v>
      </c>
      <c r="B235" s="48"/>
      <c r="C235" s="48"/>
      <c r="D235" s="48"/>
      <c r="E235" s="49"/>
      <c r="F235" s="49"/>
      <c r="G235" s="49"/>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40">
        <f t="shared" si="18"/>
        <v>0</v>
      </c>
      <c r="AM235" s="37">
        <f t="shared" si="19"/>
        <v>0</v>
      </c>
      <c r="AN235" s="37">
        <f t="shared" si="20"/>
        <v>0</v>
      </c>
      <c r="AO235" s="38" t="e">
        <f t="shared" si="21"/>
        <v>#DIV/0!</v>
      </c>
      <c r="AP235" s="38" t="e">
        <f t="shared" si="22"/>
        <v>#DIV/0!</v>
      </c>
      <c r="AQ235" s="39" t="e">
        <f t="shared" si="23"/>
        <v>#DIV/0!</v>
      </c>
    </row>
    <row r="236" spans="1:43" ht="20.100000000000001" customHeight="1" x14ac:dyDescent="0.25">
      <c r="A236" s="8">
        <v>234</v>
      </c>
      <c r="B236" s="48"/>
      <c r="C236" s="48"/>
      <c r="D236" s="48"/>
      <c r="E236" s="49"/>
      <c r="F236" s="49"/>
      <c r="G236" s="49"/>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40">
        <f t="shared" si="18"/>
        <v>0</v>
      </c>
      <c r="AM236" s="37">
        <f t="shared" si="19"/>
        <v>0</v>
      </c>
      <c r="AN236" s="37">
        <f t="shared" si="20"/>
        <v>0</v>
      </c>
      <c r="AO236" s="38" t="e">
        <f t="shared" si="21"/>
        <v>#DIV/0!</v>
      </c>
      <c r="AP236" s="38" t="e">
        <f t="shared" si="22"/>
        <v>#DIV/0!</v>
      </c>
      <c r="AQ236" s="39" t="e">
        <f t="shared" si="23"/>
        <v>#DIV/0!</v>
      </c>
    </row>
    <row r="237" spans="1:43" ht="20.100000000000001" customHeight="1" x14ac:dyDescent="0.25">
      <c r="A237" s="8">
        <v>235</v>
      </c>
      <c r="B237" s="48"/>
      <c r="C237" s="48"/>
      <c r="D237" s="48"/>
      <c r="E237" s="49"/>
      <c r="F237" s="49"/>
      <c r="G237" s="49"/>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40">
        <f t="shared" si="18"/>
        <v>0</v>
      </c>
      <c r="AM237" s="37">
        <f t="shared" si="19"/>
        <v>0</v>
      </c>
      <c r="AN237" s="37">
        <f t="shared" si="20"/>
        <v>0</v>
      </c>
      <c r="AO237" s="38" t="e">
        <f t="shared" si="21"/>
        <v>#DIV/0!</v>
      </c>
      <c r="AP237" s="38" t="e">
        <f t="shared" si="22"/>
        <v>#DIV/0!</v>
      </c>
      <c r="AQ237" s="39" t="e">
        <f t="shared" si="23"/>
        <v>#DIV/0!</v>
      </c>
    </row>
    <row r="238" spans="1:43" ht="20.100000000000001" customHeight="1" x14ac:dyDescent="0.25">
      <c r="A238" s="8">
        <v>236</v>
      </c>
      <c r="B238" s="48"/>
      <c r="C238" s="48"/>
      <c r="D238" s="48"/>
      <c r="E238" s="49"/>
      <c r="F238" s="49"/>
      <c r="G238" s="49"/>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40">
        <f t="shared" si="18"/>
        <v>0</v>
      </c>
      <c r="AM238" s="37">
        <f t="shared" si="19"/>
        <v>0</v>
      </c>
      <c r="AN238" s="37">
        <f t="shared" si="20"/>
        <v>0</v>
      </c>
      <c r="AO238" s="38" t="e">
        <f t="shared" si="21"/>
        <v>#DIV/0!</v>
      </c>
      <c r="AP238" s="38" t="e">
        <f t="shared" si="22"/>
        <v>#DIV/0!</v>
      </c>
      <c r="AQ238" s="39" t="e">
        <f t="shared" si="23"/>
        <v>#DIV/0!</v>
      </c>
    </row>
    <row r="239" spans="1:43" ht="20.100000000000001" customHeight="1" x14ac:dyDescent="0.25">
      <c r="A239" s="8">
        <v>237</v>
      </c>
      <c r="B239" s="48"/>
      <c r="C239" s="48"/>
      <c r="D239" s="48"/>
      <c r="E239" s="49"/>
      <c r="F239" s="49"/>
      <c r="G239" s="49"/>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40">
        <f t="shared" si="18"/>
        <v>0</v>
      </c>
      <c r="AM239" s="37">
        <f t="shared" si="19"/>
        <v>0</v>
      </c>
      <c r="AN239" s="37">
        <f t="shared" si="20"/>
        <v>0</v>
      </c>
      <c r="AO239" s="38" t="e">
        <f t="shared" si="21"/>
        <v>#DIV/0!</v>
      </c>
      <c r="AP239" s="38" t="e">
        <f t="shared" si="22"/>
        <v>#DIV/0!</v>
      </c>
      <c r="AQ239" s="39" t="e">
        <f t="shared" si="23"/>
        <v>#DIV/0!</v>
      </c>
    </row>
    <row r="240" spans="1:43" ht="20.100000000000001" customHeight="1" x14ac:dyDescent="0.25">
      <c r="A240" s="8">
        <v>238</v>
      </c>
      <c r="B240" s="48"/>
      <c r="C240" s="48"/>
      <c r="D240" s="48"/>
      <c r="E240" s="49"/>
      <c r="F240" s="49"/>
      <c r="G240" s="49"/>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40">
        <f t="shared" si="18"/>
        <v>0</v>
      </c>
      <c r="AM240" s="37">
        <f t="shared" si="19"/>
        <v>0</v>
      </c>
      <c r="AN240" s="37">
        <f t="shared" si="20"/>
        <v>0</v>
      </c>
      <c r="AO240" s="38" t="e">
        <f t="shared" si="21"/>
        <v>#DIV/0!</v>
      </c>
      <c r="AP240" s="38" t="e">
        <f t="shared" si="22"/>
        <v>#DIV/0!</v>
      </c>
      <c r="AQ240" s="39" t="e">
        <f t="shared" si="23"/>
        <v>#DIV/0!</v>
      </c>
    </row>
    <row r="241" spans="1:43" ht="20.100000000000001" customHeight="1" x14ac:dyDescent="0.25">
      <c r="A241" s="8">
        <v>239</v>
      </c>
      <c r="B241" s="48"/>
      <c r="C241" s="48"/>
      <c r="D241" s="48"/>
      <c r="E241" s="49"/>
      <c r="F241" s="49"/>
      <c r="G241" s="49"/>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40">
        <f t="shared" si="18"/>
        <v>0</v>
      </c>
      <c r="AM241" s="37">
        <f t="shared" si="19"/>
        <v>0</v>
      </c>
      <c r="AN241" s="37">
        <f t="shared" si="20"/>
        <v>0</v>
      </c>
      <c r="AO241" s="38" t="e">
        <f t="shared" si="21"/>
        <v>#DIV/0!</v>
      </c>
      <c r="AP241" s="38" t="e">
        <f t="shared" si="22"/>
        <v>#DIV/0!</v>
      </c>
      <c r="AQ241" s="39" t="e">
        <f t="shared" si="23"/>
        <v>#DIV/0!</v>
      </c>
    </row>
    <row r="242" spans="1:43" ht="20.100000000000001" customHeight="1" x14ac:dyDescent="0.25">
      <c r="A242" s="8">
        <v>240</v>
      </c>
      <c r="B242" s="48"/>
      <c r="C242" s="48"/>
      <c r="D242" s="48"/>
      <c r="E242" s="49"/>
      <c r="F242" s="49"/>
      <c r="G242" s="49"/>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40">
        <f t="shared" si="18"/>
        <v>0</v>
      </c>
      <c r="AM242" s="37">
        <f t="shared" si="19"/>
        <v>0</v>
      </c>
      <c r="AN242" s="37">
        <f t="shared" si="20"/>
        <v>0</v>
      </c>
      <c r="AO242" s="38" t="e">
        <f t="shared" si="21"/>
        <v>#DIV/0!</v>
      </c>
      <c r="AP242" s="38" t="e">
        <f t="shared" si="22"/>
        <v>#DIV/0!</v>
      </c>
      <c r="AQ242" s="39" t="e">
        <f t="shared" si="23"/>
        <v>#DIV/0!</v>
      </c>
    </row>
    <row r="243" spans="1:43" ht="20.100000000000001" customHeight="1" x14ac:dyDescent="0.25">
      <c r="A243" s="8">
        <v>241</v>
      </c>
      <c r="B243" s="48"/>
      <c r="C243" s="48"/>
      <c r="D243" s="48"/>
      <c r="E243" s="49"/>
      <c r="F243" s="49"/>
      <c r="G243" s="49"/>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40">
        <f t="shared" si="18"/>
        <v>0</v>
      </c>
      <c r="AM243" s="37">
        <f t="shared" si="19"/>
        <v>0</v>
      </c>
      <c r="AN243" s="37">
        <f t="shared" si="20"/>
        <v>0</v>
      </c>
      <c r="AO243" s="38" t="e">
        <f t="shared" si="21"/>
        <v>#DIV/0!</v>
      </c>
      <c r="AP243" s="38" t="e">
        <f t="shared" si="22"/>
        <v>#DIV/0!</v>
      </c>
      <c r="AQ243" s="39" t="e">
        <f t="shared" si="23"/>
        <v>#DIV/0!</v>
      </c>
    </row>
    <row r="244" spans="1:43" ht="20.100000000000001" customHeight="1" x14ac:dyDescent="0.25">
      <c r="A244" s="8">
        <v>242</v>
      </c>
      <c r="B244" s="48"/>
      <c r="C244" s="48"/>
      <c r="D244" s="48"/>
      <c r="E244" s="49"/>
      <c r="F244" s="49"/>
      <c r="G244" s="49"/>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40">
        <f t="shared" si="18"/>
        <v>0</v>
      </c>
      <c r="AM244" s="37">
        <f t="shared" si="19"/>
        <v>0</v>
      </c>
      <c r="AN244" s="37">
        <f t="shared" si="20"/>
        <v>0</v>
      </c>
      <c r="AO244" s="38" t="e">
        <f t="shared" si="21"/>
        <v>#DIV/0!</v>
      </c>
      <c r="AP244" s="38" t="e">
        <f t="shared" si="22"/>
        <v>#DIV/0!</v>
      </c>
      <c r="AQ244" s="39" t="e">
        <f t="shared" si="23"/>
        <v>#DIV/0!</v>
      </c>
    </row>
    <row r="245" spans="1:43" ht="20.100000000000001" customHeight="1" x14ac:dyDescent="0.25">
      <c r="A245" s="8">
        <v>243</v>
      </c>
      <c r="B245" s="48"/>
      <c r="C245" s="48"/>
      <c r="D245" s="48"/>
      <c r="E245" s="49"/>
      <c r="F245" s="49"/>
      <c r="G245" s="49"/>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40">
        <f t="shared" si="18"/>
        <v>0</v>
      </c>
      <c r="AM245" s="37">
        <f t="shared" si="19"/>
        <v>0</v>
      </c>
      <c r="AN245" s="37">
        <f t="shared" si="20"/>
        <v>0</v>
      </c>
      <c r="AO245" s="38" t="e">
        <f t="shared" si="21"/>
        <v>#DIV/0!</v>
      </c>
      <c r="AP245" s="38" t="e">
        <f t="shared" si="22"/>
        <v>#DIV/0!</v>
      </c>
      <c r="AQ245" s="39" t="e">
        <f t="shared" si="23"/>
        <v>#DIV/0!</v>
      </c>
    </row>
    <row r="246" spans="1:43" ht="20.100000000000001" customHeight="1" x14ac:dyDescent="0.25">
      <c r="A246" s="8">
        <v>244</v>
      </c>
      <c r="B246" s="48"/>
      <c r="C246" s="48"/>
      <c r="D246" s="48"/>
      <c r="E246" s="49"/>
      <c r="F246" s="49"/>
      <c r="G246" s="49"/>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40">
        <f t="shared" si="18"/>
        <v>0</v>
      </c>
      <c r="AM246" s="37">
        <f t="shared" si="19"/>
        <v>0</v>
      </c>
      <c r="AN246" s="37">
        <f t="shared" si="20"/>
        <v>0</v>
      </c>
      <c r="AO246" s="38" t="e">
        <f t="shared" si="21"/>
        <v>#DIV/0!</v>
      </c>
      <c r="AP246" s="38" t="e">
        <f t="shared" si="22"/>
        <v>#DIV/0!</v>
      </c>
      <c r="AQ246" s="39" t="e">
        <f t="shared" si="23"/>
        <v>#DIV/0!</v>
      </c>
    </row>
    <row r="247" spans="1:43" ht="20.100000000000001" customHeight="1" x14ac:dyDescent="0.25">
      <c r="A247" s="8">
        <v>245</v>
      </c>
      <c r="B247" s="48"/>
      <c r="C247" s="48"/>
      <c r="D247" s="48"/>
      <c r="E247" s="49"/>
      <c r="F247" s="49"/>
      <c r="G247" s="49"/>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40">
        <f t="shared" si="18"/>
        <v>0</v>
      </c>
      <c r="AM247" s="37">
        <f t="shared" si="19"/>
        <v>0</v>
      </c>
      <c r="AN247" s="37">
        <f t="shared" si="20"/>
        <v>0</v>
      </c>
      <c r="AO247" s="38" t="e">
        <f t="shared" si="21"/>
        <v>#DIV/0!</v>
      </c>
      <c r="AP247" s="38" t="e">
        <f t="shared" si="22"/>
        <v>#DIV/0!</v>
      </c>
      <c r="AQ247" s="39" t="e">
        <f t="shared" si="23"/>
        <v>#DIV/0!</v>
      </c>
    </row>
    <row r="248" spans="1:43" ht="20.100000000000001" customHeight="1" x14ac:dyDescent="0.25">
      <c r="A248" s="8">
        <v>246</v>
      </c>
      <c r="B248" s="48"/>
      <c r="C248" s="48"/>
      <c r="D248" s="48"/>
      <c r="E248" s="49"/>
      <c r="F248" s="49"/>
      <c r="G248" s="49"/>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40">
        <f t="shared" si="18"/>
        <v>0</v>
      </c>
      <c r="AM248" s="37">
        <f t="shared" si="19"/>
        <v>0</v>
      </c>
      <c r="AN248" s="37">
        <f t="shared" si="20"/>
        <v>0</v>
      </c>
      <c r="AO248" s="38" t="e">
        <f t="shared" si="21"/>
        <v>#DIV/0!</v>
      </c>
      <c r="AP248" s="38" t="e">
        <f t="shared" si="22"/>
        <v>#DIV/0!</v>
      </c>
      <c r="AQ248" s="39" t="e">
        <f t="shared" si="23"/>
        <v>#DIV/0!</v>
      </c>
    </row>
    <row r="249" spans="1:43" ht="20.100000000000001" customHeight="1" x14ac:dyDescent="0.25">
      <c r="A249" s="8">
        <v>247</v>
      </c>
      <c r="B249" s="48"/>
      <c r="C249" s="48"/>
      <c r="D249" s="48"/>
      <c r="E249" s="49"/>
      <c r="F249" s="49"/>
      <c r="G249" s="49"/>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40">
        <f t="shared" si="18"/>
        <v>0</v>
      </c>
      <c r="AM249" s="37">
        <f t="shared" si="19"/>
        <v>0</v>
      </c>
      <c r="AN249" s="37">
        <f t="shared" si="20"/>
        <v>0</v>
      </c>
      <c r="AO249" s="38" t="e">
        <f t="shared" si="21"/>
        <v>#DIV/0!</v>
      </c>
      <c r="AP249" s="38" t="e">
        <f t="shared" si="22"/>
        <v>#DIV/0!</v>
      </c>
      <c r="AQ249" s="39" t="e">
        <f t="shared" si="23"/>
        <v>#DIV/0!</v>
      </c>
    </row>
    <row r="250" spans="1:43" ht="20.100000000000001" customHeight="1" x14ac:dyDescent="0.25">
      <c r="A250" s="8">
        <v>248</v>
      </c>
      <c r="B250" s="48"/>
      <c r="C250" s="48"/>
      <c r="D250" s="48"/>
      <c r="E250" s="49"/>
      <c r="F250" s="49"/>
      <c r="G250" s="49"/>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40">
        <f t="shared" si="18"/>
        <v>0</v>
      </c>
      <c r="AM250" s="37">
        <f t="shared" si="19"/>
        <v>0</v>
      </c>
      <c r="AN250" s="37">
        <f t="shared" si="20"/>
        <v>0</v>
      </c>
      <c r="AO250" s="38" t="e">
        <f t="shared" si="21"/>
        <v>#DIV/0!</v>
      </c>
      <c r="AP250" s="38" t="e">
        <f t="shared" si="22"/>
        <v>#DIV/0!</v>
      </c>
      <c r="AQ250" s="39" t="e">
        <f t="shared" si="23"/>
        <v>#DIV/0!</v>
      </c>
    </row>
    <row r="251" spans="1:43" ht="20.100000000000001" customHeight="1" x14ac:dyDescent="0.25">
      <c r="A251" s="8">
        <v>249</v>
      </c>
      <c r="B251" s="48"/>
      <c r="C251" s="48"/>
      <c r="D251" s="48"/>
      <c r="E251" s="49"/>
      <c r="F251" s="49"/>
      <c r="G251" s="49"/>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40">
        <f t="shared" si="18"/>
        <v>0</v>
      </c>
      <c r="AM251" s="37">
        <f t="shared" si="19"/>
        <v>0</v>
      </c>
      <c r="AN251" s="37">
        <f t="shared" si="20"/>
        <v>0</v>
      </c>
      <c r="AO251" s="38" t="e">
        <f t="shared" si="21"/>
        <v>#DIV/0!</v>
      </c>
      <c r="AP251" s="38" t="e">
        <f t="shared" si="22"/>
        <v>#DIV/0!</v>
      </c>
      <c r="AQ251" s="39" t="e">
        <f t="shared" si="23"/>
        <v>#DIV/0!</v>
      </c>
    </row>
    <row r="252" spans="1:43" ht="20.100000000000001" customHeight="1" x14ac:dyDescent="0.25">
      <c r="A252" s="8">
        <v>250</v>
      </c>
      <c r="B252" s="48"/>
      <c r="C252" s="48"/>
      <c r="D252" s="48"/>
      <c r="E252" s="49"/>
      <c r="F252" s="49"/>
      <c r="G252" s="49"/>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40">
        <f t="shared" si="18"/>
        <v>0</v>
      </c>
      <c r="AM252" s="37">
        <f t="shared" si="19"/>
        <v>0</v>
      </c>
      <c r="AN252" s="37">
        <f t="shared" si="20"/>
        <v>0</v>
      </c>
      <c r="AO252" s="38" t="e">
        <f t="shared" si="21"/>
        <v>#DIV/0!</v>
      </c>
      <c r="AP252" s="38" t="e">
        <f t="shared" si="22"/>
        <v>#DIV/0!</v>
      </c>
      <c r="AQ252" s="39" t="e">
        <f t="shared" si="23"/>
        <v>#DIV/0!</v>
      </c>
    </row>
    <row r="253" spans="1:43" ht="20.100000000000001" customHeight="1" x14ac:dyDescent="0.25">
      <c r="A253" s="8">
        <v>251</v>
      </c>
      <c r="B253" s="48"/>
      <c r="C253" s="48"/>
      <c r="D253" s="48"/>
      <c r="E253" s="49"/>
      <c r="F253" s="49"/>
      <c r="G253" s="49"/>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40">
        <f t="shared" si="18"/>
        <v>0</v>
      </c>
      <c r="AM253" s="37">
        <f t="shared" si="19"/>
        <v>0</v>
      </c>
      <c r="AN253" s="37">
        <f t="shared" si="20"/>
        <v>0</v>
      </c>
      <c r="AO253" s="38" t="e">
        <f t="shared" si="21"/>
        <v>#DIV/0!</v>
      </c>
      <c r="AP253" s="38" t="e">
        <f t="shared" si="22"/>
        <v>#DIV/0!</v>
      </c>
      <c r="AQ253" s="39" t="e">
        <f t="shared" si="23"/>
        <v>#DIV/0!</v>
      </c>
    </row>
    <row r="254" spans="1:43" ht="20.100000000000001" customHeight="1" x14ac:dyDescent="0.25">
      <c r="A254" s="8">
        <v>252</v>
      </c>
      <c r="B254" s="48"/>
      <c r="C254" s="48"/>
      <c r="D254" s="48"/>
      <c r="E254" s="49"/>
      <c r="F254" s="49"/>
      <c r="G254" s="49"/>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40">
        <f t="shared" si="18"/>
        <v>0</v>
      </c>
      <c r="AM254" s="37">
        <f t="shared" si="19"/>
        <v>0</v>
      </c>
      <c r="AN254" s="37">
        <f t="shared" si="20"/>
        <v>0</v>
      </c>
      <c r="AO254" s="38" t="e">
        <f t="shared" si="21"/>
        <v>#DIV/0!</v>
      </c>
      <c r="AP254" s="38" t="e">
        <f t="shared" si="22"/>
        <v>#DIV/0!</v>
      </c>
      <c r="AQ254" s="39" t="e">
        <f t="shared" si="23"/>
        <v>#DIV/0!</v>
      </c>
    </row>
    <row r="255" spans="1:43" ht="20.100000000000001" customHeight="1" x14ac:dyDescent="0.25">
      <c r="A255" s="8">
        <v>253</v>
      </c>
      <c r="B255" s="48"/>
      <c r="C255" s="48"/>
      <c r="D255" s="48"/>
      <c r="E255" s="49"/>
      <c r="F255" s="49"/>
      <c r="G255" s="49"/>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40">
        <f t="shared" si="18"/>
        <v>0</v>
      </c>
      <c r="AM255" s="37">
        <f t="shared" si="19"/>
        <v>0</v>
      </c>
      <c r="AN255" s="37">
        <f t="shared" si="20"/>
        <v>0</v>
      </c>
      <c r="AO255" s="38" t="e">
        <f t="shared" si="21"/>
        <v>#DIV/0!</v>
      </c>
      <c r="AP255" s="38" t="e">
        <f t="shared" si="22"/>
        <v>#DIV/0!</v>
      </c>
      <c r="AQ255" s="39" t="e">
        <f t="shared" si="23"/>
        <v>#DIV/0!</v>
      </c>
    </row>
    <row r="256" spans="1:43" ht="20.100000000000001" customHeight="1" x14ac:dyDescent="0.25">
      <c r="A256" s="8">
        <v>254</v>
      </c>
      <c r="B256" s="48"/>
      <c r="C256" s="48"/>
      <c r="D256" s="48"/>
      <c r="E256" s="49"/>
      <c r="F256" s="49"/>
      <c r="G256" s="49"/>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40">
        <f t="shared" si="18"/>
        <v>0</v>
      </c>
      <c r="AM256" s="37">
        <f t="shared" si="19"/>
        <v>0</v>
      </c>
      <c r="AN256" s="37">
        <f t="shared" si="20"/>
        <v>0</v>
      </c>
      <c r="AO256" s="38" t="e">
        <f t="shared" si="21"/>
        <v>#DIV/0!</v>
      </c>
      <c r="AP256" s="38" t="e">
        <f t="shared" si="22"/>
        <v>#DIV/0!</v>
      </c>
      <c r="AQ256" s="39" t="e">
        <f t="shared" si="23"/>
        <v>#DIV/0!</v>
      </c>
    </row>
    <row r="257" spans="1:43" ht="20.100000000000001" customHeight="1" x14ac:dyDescent="0.25">
      <c r="A257" s="8">
        <v>255</v>
      </c>
      <c r="B257" s="48"/>
      <c r="C257" s="48"/>
      <c r="D257" s="48"/>
      <c r="E257" s="49"/>
      <c r="F257" s="49"/>
      <c r="G257" s="49"/>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40">
        <f t="shared" si="18"/>
        <v>0</v>
      </c>
      <c r="AM257" s="37">
        <f t="shared" si="19"/>
        <v>0</v>
      </c>
      <c r="AN257" s="37">
        <f t="shared" si="20"/>
        <v>0</v>
      </c>
      <c r="AO257" s="38" t="e">
        <f t="shared" si="21"/>
        <v>#DIV/0!</v>
      </c>
      <c r="AP257" s="38" t="e">
        <f t="shared" si="22"/>
        <v>#DIV/0!</v>
      </c>
      <c r="AQ257" s="39" t="e">
        <f t="shared" si="23"/>
        <v>#DIV/0!</v>
      </c>
    </row>
    <row r="258" spans="1:43" ht="20.100000000000001" customHeight="1" x14ac:dyDescent="0.25">
      <c r="A258" s="8">
        <v>256</v>
      </c>
      <c r="B258" s="48"/>
      <c r="C258" s="48"/>
      <c r="D258" s="48"/>
      <c r="E258" s="49"/>
      <c r="F258" s="49"/>
      <c r="G258" s="49"/>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8"/>
      <c r="AK258" s="88"/>
      <c r="AL258" s="40">
        <f t="shared" si="18"/>
        <v>0</v>
      </c>
      <c r="AM258" s="37">
        <f t="shared" si="19"/>
        <v>0</v>
      </c>
      <c r="AN258" s="37">
        <f t="shared" si="20"/>
        <v>0</v>
      </c>
      <c r="AO258" s="38" t="e">
        <f t="shared" si="21"/>
        <v>#DIV/0!</v>
      </c>
      <c r="AP258" s="38" t="e">
        <f t="shared" si="22"/>
        <v>#DIV/0!</v>
      </c>
      <c r="AQ258" s="39" t="e">
        <f t="shared" si="23"/>
        <v>#DIV/0!</v>
      </c>
    </row>
    <row r="259" spans="1:43" ht="20.100000000000001" customHeight="1" x14ac:dyDescent="0.25">
      <c r="A259" s="8">
        <v>257</v>
      </c>
      <c r="B259" s="48"/>
      <c r="C259" s="48"/>
      <c r="D259" s="48"/>
      <c r="E259" s="49"/>
      <c r="F259" s="49"/>
      <c r="G259" s="49"/>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40">
        <f t="shared" ref="AL259:AL322" si="24">COUNTIF($H259:$AK259,1)</f>
        <v>0</v>
      </c>
      <c r="AM259" s="37">
        <f t="shared" ref="AM259:AM322" si="25">COUNTIF($H259:$AK259,0)</f>
        <v>0</v>
      </c>
      <c r="AN259" s="37">
        <f t="shared" si="20"/>
        <v>0</v>
      </c>
      <c r="AO259" s="38" t="e">
        <f t="shared" si="21"/>
        <v>#DIV/0!</v>
      </c>
      <c r="AP259" s="38" t="e">
        <f t="shared" si="22"/>
        <v>#DIV/0!</v>
      </c>
      <c r="AQ259" s="39" t="e">
        <f t="shared" si="23"/>
        <v>#DIV/0!</v>
      </c>
    </row>
    <row r="260" spans="1:43" ht="20.100000000000001" customHeight="1" x14ac:dyDescent="0.25">
      <c r="A260" s="8">
        <v>258</v>
      </c>
      <c r="B260" s="48"/>
      <c r="C260" s="48"/>
      <c r="D260" s="48"/>
      <c r="E260" s="49"/>
      <c r="F260" s="49"/>
      <c r="G260" s="49"/>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40">
        <f t="shared" si="24"/>
        <v>0</v>
      </c>
      <c r="AM260" s="37">
        <f t="shared" si="25"/>
        <v>0</v>
      </c>
      <c r="AN260" s="37">
        <f t="shared" ref="AN260:AN323" si="26">SUM(AL260:AM260)</f>
        <v>0</v>
      </c>
      <c r="AO260" s="38" t="e">
        <f t="shared" ref="AO260:AO323" si="27">(AL260/AN260)*100</f>
        <v>#DIV/0!</v>
      </c>
      <c r="AP260" s="38" t="e">
        <f t="shared" ref="AP260:AP323" si="28">(AM260/AN260)*100</f>
        <v>#DIV/0!</v>
      </c>
      <c r="AQ260" s="39" t="e">
        <f t="shared" ref="AQ260:AQ323" si="29">SUM(AO260:AP260)</f>
        <v>#DIV/0!</v>
      </c>
    </row>
    <row r="261" spans="1:43" ht="20.100000000000001" customHeight="1" x14ac:dyDescent="0.25">
      <c r="A261" s="8">
        <v>259</v>
      </c>
      <c r="B261" s="48"/>
      <c r="C261" s="48"/>
      <c r="D261" s="48"/>
      <c r="E261" s="49"/>
      <c r="F261" s="49"/>
      <c r="G261" s="49"/>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40">
        <f t="shared" si="24"/>
        <v>0</v>
      </c>
      <c r="AM261" s="37">
        <f t="shared" si="25"/>
        <v>0</v>
      </c>
      <c r="AN261" s="37">
        <f t="shared" si="26"/>
        <v>0</v>
      </c>
      <c r="AO261" s="38" t="e">
        <f t="shared" si="27"/>
        <v>#DIV/0!</v>
      </c>
      <c r="AP261" s="38" t="e">
        <f t="shared" si="28"/>
        <v>#DIV/0!</v>
      </c>
      <c r="AQ261" s="39" t="e">
        <f t="shared" si="29"/>
        <v>#DIV/0!</v>
      </c>
    </row>
    <row r="262" spans="1:43" ht="20.100000000000001" customHeight="1" x14ac:dyDescent="0.25">
      <c r="A262" s="8">
        <v>260</v>
      </c>
      <c r="B262" s="48"/>
      <c r="C262" s="48"/>
      <c r="D262" s="48"/>
      <c r="E262" s="49"/>
      <c r="F262" s="49"/>
      <c r="G262" s="49"/>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40">
        <f t="shared" si="24"/>
        <v>0</v>
      </c>
      <c r="AM262" s="37">
        <f t="shared" si="25"/>
        <v>0</v>
      </c>
      <c r="AN262" s="37">
        <f t="shared" si="26"/>
        <v>0</v>
      </c>
      <c r="AO262" s="38" t="e">
        <f t="shared" si="27"/>
        <v>#DIV/0!</v>
      </c>
      <c r="AP262" s="38" t="e">
        <f t="shared" si="28"/>
        <v>#DIV/0!</v>
      </c>
      <c r="AQ262" s="39" t="e">
        <f t="shared" si="29"/>
        <v>#DIV/0!</v>
      </c>
    </row>
    <row r="263" spans="1:43" ht="20.100000000000001" customHeight="1" x14ac:dyDescent="0.25">
      <c r="A263" s="8">
        <v>261</v>
      </c>
      <c r="B263" s="48"/>
      <c r="C263" s="48"/>
      <c r="D263" s="48"/>
      <c r="E263" s="49"/>
      <c r="F263" s="49"/>
      <c r="G263" s="49"/>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40">
        <f t="shared" si="24"/>
        <v>0</v>
      </c>
      <c r="AM263" s="37">
        <f t="shared" si="25"/>
        <v>0</v>
      </c>
      <c r="AN263" s="37">
        <f t="shared" si="26"/>
        <v>0</v>
      </c>
      <c r="AO263" s="38" t="e">
        <f t="shared" si="27"/>
        <v>#DIV/0!</v>
      </c>
      <c r="AP263" s="38" t="e">
        <f t="shared" si="28"/>
        <v>#DIV/0!</v>
      </c>
      <c r="AQ263" s="39" t="e">
        <f t="shared" si="29"/>
        <v>#DIV/0!</v>
      </c>
    </row>
    <row r="264" spans="1:43" ht="20.100000000000001" customHeight="1" x14ac:dyDescent="0.25">
      <c r="A264" s="8">
        <v>262</v>
      </c>
      <c r="B264" s="48"/>
      <c r="C264" s="48"/>
      <c r="D264" s="48"/>
      <c r="E264" s="49"/>
      <c r="F264" s="49"/>
      <c r="G264" s="49"/>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40">
        <f t="shared" si="24"/>
        <v>0</v>
      </c>
      <c r="AM264" s="37">
        <f t="shared" si="25"/>
        <v>0</v>
      </c>
      <c r="AN264" s="37">
        <f t="shared" si="26"/>
        <v>0</v>
      </c>
      <c r="AO264" s="38" t="e">
        <f t="shared" si="27"/>
        <v>#DIV/0!</v>
      </c>
      <c r="AP264" s="38" t="e">
        <f t="shared" si="28"/>
        <v>#DIV/0!</v>
      </c>
      <c r="AQ264" s="39" t="e">
        <f t="shared" si="29"/>
        <v>#DIV/0!</v>
      </c>
    </row>
    <row r="265" spans="1:43" ht="20.100000000000001" customHeight="1" x14ac:dyDescent="0.25">
      <c r="A265" s="8">
        <v>263</v>
      </c>
      <c r="B265" s="48"/>
      <c r="C265" s="48"/>
      <c r="D265" s="48"/>
      <c r="E265" s="49"/>
      <c r="F265" s="49"/>
      <c r="G265" s="49"/>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40">
        <f t="shared" si="24"/>
        <v>0</v>
      </c>
      <c r="AM265" s="37">
        <f t="shared" si="25"/>
        <v>0</v>
      </c>
      <c r="AN265" s="37">
        <f t="shared" si="26"/>
        <v>0</v>
      </c>
      <c r="AO265" s="38" t="e">
        <f t="shared" si="27"/>
        <v>#DIV/0!</v>
      </c>
      <c r="AP265" s="38" t="e">
        <f t="shared" si="28"/>
        <v>#DIV/0!</v>
      </c>
      <c r="AQ265" s="39" t="e">
        <f t="shared" si="29"/>
        <v>#DIV/0!</v>
      </c>
    </row>
    <row r="266" spans="1:43" ht="20.100000000000001" customHeight="1" x14ac:dyDescent="0.25">
      <c r="A266" s="8">
        <v>264</v>
      </c>
      <c r="B266" s="48"/>
      <c r="C266" s="48"/>
      <c r="D266" s="48"/>
      <c r="E266" s="49"/>
      <c r="F266" s="49"/>
      <c r="G266" s="49"/>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40">
        <f t="shared" si="24"/>
        <v>0</v>
      </c>
      <c r="AM266" s="37">
        <f t="shared" si="25"/>
        <v>0</v>
      </c>
      <c r="AN266" s="37">
        <f t="shared" si="26"/>
        <v>0</v>
      </c>
      <c r="AO266" s="38" t="e">
        <f t="shared" si="27"/>
        <v>#DIV/0!</v>
      </c>
      <c r="AP266" s="38" t="e">
        <f t="shared" si="28"/>
        <v>#DIV/0!</v>
      </c>
      <c r="AQ266" s="39" t="e">
        <f t="shared" si="29"/>
        <v>#DIV/0!</v>
      </c>
    </row>
    <row r="267" spans="1:43" ht="20.100000000000001" customHeight="1" x14ac:dyDescent="0.25">
      <c r="A267" s="8">
        <v>265</v>
      </c>
      <c r="B267" s="48"/>
      <c r="C267" s="48"/>
      <c r="D267" s="48"/>
      <c r="E267" s="49"/>
      <c r="F267" s="49"/>
      <c r="G267" s="49"/>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40">
        <f t="shared" si="24"/>
        <v>0</v>
      </c>
      <c r="AM267" s="37">
        <f t="shared" si="25"/>
        <v>0</v>
      </c>
      <c r="AN267" s="37">
        <f t="shared" si="26"/>
        <v>0</v>
      </c>
      <c r="AO267" s="38" t="e">
        <f t="shared" si="27"/>
        <v>#DIV/0!</v>
      </c>
      <c r="AP267" s="38" t="e">
        <f t="shared" si="28"/>
        <v>#DIV/0!</v>
      </c>
      <c r="AQ267" s="39" t="e">
        <f t="shared" si="29"/>
        <v>#DIV/0!</v>
      </c>
    </row>
    <row r="268" spans="1:43" ht="20.100000000000001" customHeight="1" x14ac:dyDescent="0.25">
      <c r="A268" s="8">
        <v>266</v>
      </c>
      <c r="B268" s="48"/>
      <c r="C268" s="48"/>
      <c r="D268" s="48"/>
      <c r="E268" s="49"/>
      <c r="F268" s="49"/>
      <c r="G268" s="49"/>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40">
        <f t="shared" si="24"/>
        <v>0</v>
      </c>
      <c r="AM268" s="37">
        <f t="shared" si="25"/>
        <v>0</v>
      </c>
      <c r="AN268" s="37">
        <f t="shared" si="26"/>
        <v>0</v>
      </c>
      <c r="AO268" s="38" t="e">
        <f t="shared" si="27"/>
        <v>#DIV/0!</v>
      </c>
      <c r="AP268" s="38" t="e">
        <f t="shared" si="28"/>
        <v>#DIV/0!</v>
      </c>
      <c r="AQ268" s="39" t="e">
        <f t="shared" si="29"/>
        <v>#DIV/0!</v>
      </c>
    </row>
    <row r="269" spans="1:43" ht="20.100000000000001" customHeight="1" x14ac:dyDescent="0.25">
      <c r="A269" s="8">
        <v>267</v>
      </c>
      <c r="B269" s="48"/>
      <c r="C269" s="48"/>
      <c r="D269" s="48"/>
      <c r="E269" s="49"/>
      <c r="F269" s="49"/>
      <c r="G269" s="49"/>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40">
        <f t="shared" si="24"/>
        <v>0</v>
      </c>
      <c r="AM269" s="37">
        <f t="shared" si="25"/>
        <v>0</v>
      </c>
      <c r="AN269" s="37">
        <f t="shared" si="26"/>
        <v>0</v>
      </c>
      <c r="AO269" s="38" t="e">
        <f t="shared" si="27"/>
        <v>#DIV/0!</v>
      </c>
      <c r="AP269" s="38" t="e">
        <f t="shared" si="28"/>
        <v>#DIV/0!</v>
      </c>
      <c r="AQ269" s="39" t="e">
        <f t="shared" si="29"/>
        <v>#DIV/0!</v>
      </c>
    </row>
    <row r="270" spans="1:43" ht="20.100000000000001" customHeight="1" x14ac:dyDescent="0.25">
      <c r="A270" s="8">
        <v>268</v>
      </c>
      <c r="B270" s="48"/>
      <c r="C270" s="48"/>
      <c r="D270" s="48"/>
      <c r="E270" s="49"/>
      <c r="F270" s="49"/>
      <c r="G270" s="49"/>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40">
        <f t="shared" si="24"/>
        <v>0</v>
      </c>
      <c r="AM270" s="37">
        <f t="shared" si="25"/>
        <v>0</v>
      </c>
      <c r="AN270" s="37">
        <f t="shared" si="26"/>
        <v>0</v>
      </c>
      <c r="AO270" s="38" t="e">
        <f t="shared" si="27"/>
        <v>#DIV/0!</v>
      </c>
      <c r="AP270" s="38" t="e">
        <f t="shared" si="28"/>
        <v>#DIV/0!</v>
      </c>
      <c r="AQ270" s="39" t="e">
        <f t="shared" si="29"/>
        <v>#DIV/0!</v>
      </c>
    </row>
    <row r="271" spans="1:43" ht="20.100000000000001" customHeight="1" x14ac:dyDescent="0.25">
      <c r="A271" s="8">
        <v>269</v>
      </c>
      <c r="B271" s="48"/>
      <c r="C271" s="48"/>
      <c r="D271" s="48"/>
      <c r="E271" s="49"/>
      <c r="F271" s="49"/>
      <c r="G271" s="49"/>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40">
        <f t="shared" si="24"/>
        <v>0</v>
      </c>
      <c r="AM271" s="37">
        <f t="shared" si="25"/>
        <v>0</v>
      </c>
      <c r="AN271" s="37">
        <f t="shared" si="26"/>
        <v>0</v>
      </c>
      <c r="AO271" s="38" t="e">
        <f t="shared" si="27"/>
        <v>#DIV/0!</v>
      </c>
      <c r="AP271" s="38" t="e">
        <f t="shared" si="28"/>
        <v>#DIV/0!</v>
      </c>
      <c r="AQ271" s="39" t="e">
        <f t="shared" si="29"/>
        <v>#DIV/0!</v>
      </c>
    </row>
    <row r="272" spans="1:43" ht="20.100000000000001" customHeight="1" x14ac:dyDescent="0.25">
      <c r="A272" s="8">
        <v>270</v>
      </c>
      <c r="B272" s="48"/>
      <c r="C272" s="48"/>
      <c r="D272" s="48"/>
      <c r="E272" s="49"/>
      <c r="F272" s="49"/>
      <c r="G272" s="49"/>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40">
        <f t="shared" si="24"/>
        <v>0</v>
      </c>
      <c r="AM272" s="37">
        <f t="shared" si="25"/>
        <v>0</v>
      </c>
      <c r="AN272" s="37">
        <f t="shared" si="26"/>
        <v>0</v>
      </c>
      <c r="AO272" s="38" t="e">
        <f t="shared" si="27"/>
        <v>#DIV/0!</v>
      </c>
      <c r="AP272" s="38" t="e">
        <f t="shared" si="28"/>
        <v>#DIV/0!</v>
      </c>
      <c r="AQ272" s="39" t="e">
        <f t="shared" si="29"/>
        <v>#DIV/0!</v>
      </c>
    </row>
    <row r="273" spans="1:43" ht="20.100000000000001" customHeight="1" x14ac:dyDescent="0.25">
      <c r="A273" s="8">
        <v>271</v>
      </c>
      <c r="B273" s="48"/>
      <c r="C273" s="48"/>
      <c r="D273" s="48"/>
      <c r="E273" s="49"/>
      <c r="F273" s="49"/>
      <c r="G273" s="49"/>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40">
        <f t="shared" si="24"/>
        <v>0</v>
      </c>
      <c r="AM273" s="37">
        <f t="shared" si="25"/>
        <v>0</v>
      </c>
      <c r="AN273" s="37">
        <f t="shared" si="26"/>
        <v>0</v>
      </c>
      <c r="AO273" s="38" t="e">
        <f t="shared" si="27"/>
        <v>#DIV/0!</v>
      </c>
      <c r="AP273" s="38" t="e">
        <f t="shared" si="28"/>
        <v>#DIV/0!</v>
      </c>
      <c r="AQ273" s="39" t="e">
        <f t="shared" si="29"/>
        <v>#DIV/0!</v>
      </c>
    </row>
    <row r="274" spans="1:43" ht="20.100000000000001" customHeight="1" x14ac:dyDescent="0.25">
      <c r="A274" s="8">
        <v>272</v>
      </c>
      <c r="B274" s="48"/>
      <c r="C274" s="48"/>
      <c r="D274" s="48"/>
      <c r="E274" s="49"/>
      <c r="F274" s="49"/>
      <c r="G274" s="49"/>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40">
        <f t="shared" si="24"/>
        <v>0</v>
      </c>
      <c r="AM274" s="37">
        <f t="shared" si="25"/>
        <v>0</v>
      </c>
      <c r="AN274" s="37">
        <f t="shared" si="26"/>
        <v>0</v>
      </c>
      <c r="AO274" s="38" t="e">
        <f t="shared" si="27"/>
        <v>#DIV/0!</v>
      </c>
      <c r="AP274" s="38" t="e">
        <f t="shared" si="28"/>
        <v>#DIV/0!</v>
      </c>
      <c r="AQ274" s="39" t="e">
        <f t="shared" si="29"/>
        <v>#DIV/0!</v>
      </c>
    </row>
    <row r="275" spans="1:43" ht="20.100000000000001" customHeight="1" x14ac:dyDescent="0.25">
      <c r="A275" s="8">
        <v>273</v>
      </c>
      <c r="B275" s="48"/>
      <c r="C275" s="48"/>
      <c r="D275" s="48"/>
      <c r="E275" s="49"/>
      <c r="F275" s="49"/>
      <c r="G275" s="49"/>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8"/>
      <c r="AK275" s="88"/>
      <c r="AL275" s="40">
        <f t="shared" si="24"/>
        <v>0</v>
      </c>
      <c r="AM275" s="37">
        <f t="shared" si="25"/>
        <v>0</v>
      </c>
      <c r="AN275" s="37">
        <f t="shared" si="26"/>
        <v>0</v>
      </c>
      <c r="AO275" s="38" t="e">
        <f t="shared" si="27"/>
        <v>#DIV/0!</v>
      </c>
      <c r="AP275" s="38" t="e">
        <f t="shared" si="28"/>
        <v>#DIV/0!</v>
      </c>
      <c r="AQ275" s="39" t="e">
        <f t="shared" si="29"/>
        <v>#DIV/0!</v>
      </c>
    </row>
    <row r="276" spans="1:43" ht="20.100000000000001" customHeight="1" x14ac:dyDescent="0.25">
      <c r="A276" s="8">
        <v>274</v>
      </c>
      <c r="B276" s="48"/>
      <c r="C276" s="48"/>
      <c r="D276" s="48"/>
      <c r="E276" s="49"/>
      <c r="F276" s="49"/>
      <c r="G276" s="49"/>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40">
        <f t="shared" si="24"/>
        <v>0</v>
      </c>
      <c r="AM276" s="37">
        <f t="shared" si="25"/>
        <v>0</v>
      </c>
      <c r="AN276" s="37">
        <f t="shared" si="26"/>
        <v>0</v>
      </c>
      <c r="AO276" s="38" t="e">
        <f t="shared" si="27"/>
        <v>#DIV/0!</v>
      </c>
      <c r="AP276" s="38" t="e">
        <f t="shared" si="28"/>
        <v>#DIV/0!</v>
      </c>
      <c r="AQ276" s="39" t="e">
        <f t="shared" si="29"/>
        <v>#DIV/0!</v>
      </c>
    </row>
    <row r="277" spans="1:43" ht="20.100000000000001" customHeight="1" x14ac:dyDescent="0.25">
      <c r="A277" s="8">
        <v>275</v>
      </c>
      <c r="B277" s="48"/>
      <c r="C277" s="48"/>
      <c r="D277" s="48"/>
      <c r="E277" s="49"/>
      <c r="F277" s="49"/>
      <c r="G277" s="49"/>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40">
        <f t="shared" si="24"/>
        <v>0</v>
      </c>
      <c r="AM277" s="37">
        <f t="shared" si="25"/>
        <v>0</v>
      </c>
      <c r="AN277" s="37">
        <f t="shared" si="26"/>
        <v>0</v>
      </c>
      <c r="AO277" s="38" t="e">
        <f t="shared" si="27"/>
        <v>#DIV/0!</v>
      </c>
      <c r="AP277" s="38" t="e">
        <f t="shared" si="28"/>
        <v>#DIV/0!</v>
      </c>
      <c r="AQ277" s="39" t="e">
        <f t="shared" si="29"/>
        <v>#DIV/0!</v>
      </c>
    </row>
    <row r="278" spans="1:43" ht="20.100000000000001" customHeight="1" x14ac:dyDescent="0.25">
      <c r="A278" s="8">
        <v>276</v>
      </c>
      <c r="B278" s="48"/>
      <c r="C278" s="48"/>
      <c r="D278" s="48"/>
      <c r="E278" s="49"/>
      <c r="F278" s="49"/>
      <c r="G278" s="49"/>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40">
        <f t="shared" si="24"/>
        <v>0</v>
      </c>
      <c r="AM278" s="37">
        <f t="shared" si="25"/>
        <v>0</v>
      </c>
      <c r="AN278" s="37">
        <f t="shared" si="26"/>
        <v>0</v>
      </c>
      <c r="AO278" s="38" t="e">
        <f t="shared" si="27"/>
        <v>#DIV/0!</v>
      </c>
      <c r="AP278" s="38" t="e">
        <f t="shared" si="28"/>
        <v>#DIV/0!</v>
      </c>
      <c r="AQ278" s="39" t="e">
        <f t="shared" si="29"/>
        <v>#DIV/0!</v>
      </c>
    </row>
    <row r="279" spans="1:43" ht="20.100000000000001" customHeight="1" x14ac:dyDescent="0.25">
      <c r="A279" s="8">
        <v>277</v>
      </c>
      <c r="B279" s="48"/>
      <c r="C279" s="48"/>
      <c r="D279" s="48"/>
      <c r="E279" s="49"/>
      <c r="F279" s="49"/>
      <c r="G279" s="49"/>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40">
        <f t="shared" si="24"/>
        <v>0</v>
      </c>
      <c r="AM279" s="37">
        <f t="shared" si="25"/>
        <v>0</v>
      </c>
      <c r="AN279" s="37">
        <f t="shared" si="26"/>
        <v>0</v>
      </c>
      <c r="AO279" s="38" t="e">
        <f t="shared" si="27"/>
        <v>#DIV/0!</v>
      </c>
      <c r="AP279" s="38" t="e">
        <f t="shared" si="28"/>
        <v>#DIV/0!</v>
      </c>
      <c r="AQ279" s="39" t="e">
        <f t="shared" si="29"/>
        <v>#DIV/0!</v>
      </c>
    </row>
    <row r="280" spans="1:43" ht="20.100000000000001" customHeight="1" x14ac:dyDescent="0.25">
      <c r="A280" s="8">
        <v>278</v>
      </c>
      <c r="B280" s="48"/>
      <c r="C280" s="48"/>
      <c r="D280" s="48"/>
      <c r="E280" s="49"/>
      <c r="F280" s="49"/>
      <c r="G280" s="49"/>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40">
        <f t="shared" si="24"/>
        <v>0</v>
      </c>
      <c r="AM280" s="37">
        <f t="shared" si="25"/>
        <v>0</v>
      </c>
      <c r="AN280" s="37">
        <f t="shared" si="26"/>
        <v>0</v>
      </c>
      <c r="AO280" s="38" t="e">
        <f t="shared" si="27"/>
        <v>#DIV/0!</v>
      </c>
      <c r="AP280" s="38" t="e">
        <f t="shared" si="28"/>
        <v>#DIV/0!</v>
      </c>
      <c r="AQ280" s="39" t="e">
        <f t="shared" si="29"/>
        <v>#DIV/0!</v>
      </c>
    </row>
    <row r="281" spans="1:43" ht="20.100000000000001" customHeight="1" x14ac:dyDescent="0.25">
      <c r="A281" s="8">
        <v>279</v>
      </c>
      <c r="B281" s="48"/>
      <c r="C281" s="48"/>
      <c r="D281" s="48"/>
      <c r="E281" s="49"/>
      <c r="F281" s="49"/>
      <c r="G281" s="49"/>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40">
        <f t="shared" si="24"/>
        <v>0</v>
      </c>
      <c r="AM281" s="37">
        <f t="shared" si="25"/>
        <v>0</v>
      </c>
      <c r="AN281" s="37">
        <f t="shared" si="26"/>
        <v>0</v>
      </c>
      <c r="AO281" s="38" t="e">
        <f t="shared" si="27"/>
        <v>#DIV/0!</v>
      </c>
      <c r="AP281" s="38" t="e">
        <f t="shared" si="28"/>
        <v>#DIV/0!</v>
      </c>
      <c r="AQ281" s="39" t="e">
        <f t="shared" si="29"/>
        <v>#DIV/0!</v>
      </c>
    </row>
    <row r="282" spans="1:43" ht="20.100000000000001" customHeight="1" x14ac:dyDescent="0.25">
      <c r="A282" s="8">
        <v>280</v>
      </c>
      <c r="B282" s="48"/>
      <c r="C282" s="48"/>
      <c r="D282" s="48"/>
      <c r="E282" s="49"/>
      <c r="F282" s="49"/>
      <c r="G282" s="49"/>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40">
        <f t="shared" si="24"/>
        <v>0</v>
      </c>
      <c r="AM282" s="37">
        <f t="shared" si="25"/>
        <v>0</v>
      </c>
      <c r="AN282" s="37">
        <f t="shared" si="26"/>
        <v>0</v>
      </c>
      <c r="AO282" s="38" t="e">
        <f t="shared" si="27"/>
        <v>#DIV/0!</v>
      </c>
      <c r="AP282" s="38" t="e">
        <f t="shared" si="28"/>
        <v>#DIV/0!</v>
      </c>
      <c r="AQ282" s="39" t="e">
        <f t="shared" si="29"/>
        <v>#DIV/0!</v>
      </c>
    </row>
    <row r="283" spans="1:43" ht="20.100000000000001" customHeight="1" x14ac:dyDescent="0.25">
      <c r="A283" s="8">
        <v>281</v>
      </c>
      <c r="B283" s="48"/>
      <c r="C283" s="48"/>
      <c r="D283" s="48"/>
      <c r="E283" s="49"/>
      <c r="F283" s="49"/>
      <c r="G283" s="49"/>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40">
        <f t="shared" si="24"/>
        <v>0</v>
      </c>
      <c r="AM283" s="37">
        <f t="shared" si="25"/>
        <v>0</v>
      </c>
      <c r="AN283" s="37">
        <f t="shared" si="26"/>
        <v>0</v>
      </c>
      <c r="AO283" s="38" t="e">
        <f t="shared" si="27"/>
        <v>#DIV/0!</v>
      </c>
      <c r="AP283" s="38" t="e">
        <f t="shared" si="28"/>
        <v>#DIV/0!</v>
      </c>
      <c r="AQ283" s="39" t="e">
        <f t="shared" si="29"/>
        <v>#DIV/0!</v>
      </c>
    </row>
    <row r="284" spans="1:43" ht="20.100000000000001" customHeight="1" x14ac:dyDescent="0.25">
      <c r="A284" s="8">
        <v>282</v>
      </c>
      <c r="B284" s="48"/>
      <c r="C284" s="48"/>
      <c r="D284" s="48"/>
      <c r="E284" s="49"/>
      <c r="F284" s="49"/>
      <c r="G284" s="49"/>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40">
        <f t="shared" si="24"/>
        <v>0</v>
      </c>
      <c r="AM284" s="37">
        <f t="shared" si="25"/>
        <v>0</v>
      </c>
      <c r="AN284" s="37">
        <f t="shared" si="26"/>
        <v>0</v>
      </c>
      <c r="AO284" s="38" t="e">
        <f t="shared" si="27"/>
        <v>#DIV/0!</v>
      </c>
      <c r="AP284" s="38" t="e">
        <f t="shared" si="28"/>
        <v>#DIV/0!</v>
      </c>
      <c r="AQ284" s="39" t="e">
        <f t="shared" si="29"/>
        <v>#DIV/0!</v>
      </c>
    </row>
    <row r="285" spans="1:43" ht="20.100000000000001" customHeight="1" x14ac:dyDescent="0.25">
      <c r="A285" s="8">
        <v>283</v>
      </c>
      <c r="B285" s="48"/>
      <c r="C285" s="48"/>
      <c r="D285" s="48"/>
      <c r="E285" s="49"/>
      <c r="F285" s="49"/>
      <c r="G285" s="49"/>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40">
        <f t="shared" si="24"/>
        <v>0</v>
      </c>
      <c r="AM285" s="37">
        <f t="shared" si="25"/>
        <v>0</v>
      </c>
      <c r="AN285" s="37">
        <f t="shared" si="26"/>
        <v>0</v>
      </c>
      <c r="AO285" s="38" t="e">
        <f t="shared" si="27"/>
        <v>#DIV/0!</v>
      </c>
      <c r="AP285" s="38" t="e">
        <f t="shared" si="28"/>
        <v>#DIV/0!</v>
      </c>
      <c r="AQ285" s="39" t="e">
        <f t="shared" si="29"/>
        <v>#DIV/0!</v>
      </c>
    </row>
    <row r="286" spans="1:43" ht="20.100000000000001" customHeight="1" x14ac:dyDescent="0.25">
      <c r="A286" s="8">
        <v>284</v>
      </c>
      <c r="B286" s="48"/>
      <c r="C286" s="48"/>
      <c r="D286" s="48"/>
      <c r="E286" s="49"/>
      <c r="F286" s="49"/>
      <c r="G286" s="49"/>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40">
        <f t="shared" si="24"/>
        <v>0</v>
      </c>
      <c r="AM286" s="37">
        <f t="shared" si="25"/>
        <v>0</v>
      </c>
      <c r="AN286" s="37">
        <f t="shared" si="26"/>
        <v>0</v>
      </c>
      <c r="AO286" s="38" t="e">
        <f t="shared" si="27"/>
        <v>#DIV/0!</v>
      </c>
      <c r="AP286" s="38" t="e">
        <f t="shared" si="28"/>
        <v>#DIV/0!</v>
      </c>
      <c r="AQ286" s="39" t="e">
        <f t="shared" si="29"/>
        <v>#DIV/0!</v>
      </c>
    </row>
    <row r="287" spans="1:43" ht="20.100000000000001" customHeight="1" x14ac:dyDescent="0.25">
      <c r="A287" s="8">
        <v>285</v>
      </c>
      <c r="B287" s="48"/>
      <c r="C287" s="48"/>
      <c r="D287" s="48"/>
      <c r="E287" s="49"/>
      <c r="F287" s="49"/>
      <c r="G287" s="49"/>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40">
        <f t="shared" si="24"/>
        <v>0</v>
      </c>
      <c r="AM287" s="37">
        <f t="shared" si="25"/>
        <v>0</v>
      </c>
      <c r="AN287" s="37">
        <f t="shared" si="26"/>
        <v>0</v>
      </c>
      <c r="AO287" s="38" t="e">
        <f t="shared" si="27"/>
        <v>#DIV/0!</v>
      </c>
      <c r="AP287" s="38" t="e">
        <f t="shared" si="28"/>
        <v>#DIV/0!</v>
      </c>
      <c r="AQ287" s="39" t="e">
        <f t="shared" si="29"/>
        <v>#DIV/0!</v>
      </c>
    </row>
    <row r="288" spans="1:43" ht="20.100000000000001" customHeight="1" x14ac:dyDescent="0.25">
      <c r="A288" s="8">
        <v>286</v>
      </c>
      <c r="B288" s="48"/>
      <c r="C288" s="48"/>
      <c r="D288" s="48"/>
      <c r="E288" s="49"/>
      <c r="F288" s="49"/>
      <c r="G288" s="49"/>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40">
        <f t="shared" si="24"/>
        <v>0</v>
      </c>
      <c r="AM288" s="37">
        <f t="shared" si="25"/>
        <v>0</v>
      </c>
      <c r="AN288" s="37">
        <f t="shared" si="26"/>
        <v>0</v>
      </c>
      <c r="AO288" s="38" t="e">
        <f t="shared" si="27"/>
        <v>#DIV/0!</v>
      </c>
      <c r="AP288" s="38" t="e">
        <f t="shared" si="28"/>
        <v>#DIV/0!</v>
      </c>
      <c r="AQ288" s="39" t="e">
        <f t="shared" si="29"/>
        <v>#DIV/0!</v>
      </c>
    </row>
    <row r="289" spans="1:43" ht="20.100000000000001" customHeight="1" x14ac:dyDescent="0.25">
      <c r="A289" s="8">
        <v>287</v>
      </c>
      <c r="B289" s="48"/>
      <c r="C289" s="48"/>
      <c r="D289" s="48"/>
      <c r="E289" s="49"/>
      <c r="F289" s="49"/>
      <c r="G289" s="49"/>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40">
        <f t="shared" si="24"/>
        <v>0</v>
      </c>
      <c r="AM289" s="37">
        <f t="shared" si="25"/>
        <v>0</v>
      </c>
      <c r="AN289" s="37">
        <f t="shared" si="26"/>
        <v>0</v>
      </c>
      <c r="AO289" s="38" t="e">
        <f t="shared" si="27"/>
        <v>#DIV/0!</v>
      </c>
      <c r="AP289" s="38" t="e">
        <f t="shared" si="28"/>
        <v>#DIV/0!</v>
      </c>
      <c r="AQ289" s="39" t="e">
        <f t="shared" si="29"/>
        <v>#DIV/0!</v>
      </c>
    </row>
    <row r="290" spans="1:43" ht="20.100000000000001" customHeight="1" x14ac:dyDescent="0.25">
      <c r="A290" s="8">
        <v>288</v>
      </c>
      <c r="B290" s="48"/>
      <c r="C290" s="48"/>
      <c r="D290" s="48"/>
      <c r="E290" s="49"/>
      <c r="F290" s="49"/>
      <c r="G290" s="49"/>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40">
        <f t="shared" si="24"/>
        <v>0</v>
      </c>
      <c r="AM290" s="37">
        <f t="shared" si="25"/>
        <v>0</v>
      </c>
      <c r="AN290" s="37">
        <f t="shared" si="26"/>
        <v>0</v>
      </c>
      <c r="AO290" s="38" t="e">
        <f t="shared" si="27"/>
        <v>#DIV/0!</v>
      </c>
      <c r="AP290" s="38" t="e">
        <f t="shared" si="28"/>
        <v>#DIV/0!</v>
      </c>
      <c r="AQ290" s="39" t="e">
        <f t="shared" si="29"/>
        <v>#DIV/0!</v>
      </c>
    </row>
    <row r="291" spans="1:43" ht="20.100000000000001" customHeight="1" x14ac:dyDescent="0.25">
      <c r="A291" s="8">
        <v>289</v>
      </c>
      <c r="B291" s="48"/>
      <c r="C291" s="48"/>
      <c r="D291" s="48"/>
      <c r="E291" s="49"/>
      <c r="F291" s="49"/>
      <c r="G291" s="49"/>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40">
        <f t="shared" si="24"/>
        <v>0</v>
      </c>
      <c r="AM291" s="37">
        <f t="shared" si="25"/>
        <v>0</v>
      </c>
      <c r="AN291" s="37">
        <f t="shared" si="26"/>
        <v>0</v>
      </c>
      <c r="AO291" s="38" t="e">
        <f t="shared" si="27"/>
        <v>#DIV/0!</v>
      </c>
      <c r="AP291" s="38" t="e">
        <f t="shared" si="28"/>
        <v>#DIV/0!</v>
      </c>
      <c r="AQ291" s="39" t="e">
        <f t="shared" si="29"/>
        <v>#DIV/0!</v>
      </c>
    </row>
    <row r="292" spans="1:43" ht="20.100000000000001" customHeight="1" x14ac:dyDescent="0.25">
      <c r="A292" s="8">
        <v>290</v>
      </c>
      <c r="B292" s="48"/>
      <c r="C292" s="48"/>
      <c r="D292" s="48"/>
      <c r="E292" s="49"/>
      <c r="F292" s="49"/>
      <c r="G292" s="49"/>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8"/>
      <c r="AK292" s="88"/>
      <c r="AL292" s="40">
        <f t="shared" si="24"/>
        <v>0</v>
      </c>
      <c r="AM292" s="37">
        <f t="shared" si="25"/>
        <v>0</v>
      </c>
      <c r="AN292" s="37">
        <f t="shared" si="26"/>
        <v>0</v>
      </c>
      <c r="AO292" s="38" t="e">
        <f t="shared" si="27"/>
        <v>#DIV/0!</v>
      </c>
      <c r="AP292" s="38" t="e">
        <f t="shared" si="28"/>
        <v>#DIV/0!</v>
      </c>
      <c r="AQ292" s="39" t="e">
        <f t="shared" si="29"/>
        <v>#DIV/0!</v>
      </c>
    </row>
    <row r="293" spans="1:43" ht="20.100000000000001" customHeight="1" x14ac:dyDescent="0.25">
      <c r="A293" s="8">
        <v>291</v>
      </c>
      <c r="B293" s="48"/>
      <c r="C293" s="48"/>
      <c r="D293" s="48"/>
      <c r="E293" s="49"/>
      <c r="F293" s="49"/>
      <c r="G293" s="49"/>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40">
        <f t="shared" si="24"/>
        <v>0</v>
      </c>
      <c r="AM293" s="37">
        <f t="shared" si="25"/>
        <v>0</v>
      </c>
      <c r="AN293" s="37">
        <f t="shared" si="26"/>
        <v>0</v>
      </c>
      <c r="AO293" s="38" t="e">
        <f t="shared" si="27"/>
        <v>#DIV/0!</v>
      </c>
      <c r="AP293" s="38" t="e">
        <f t="shared" si="28"/>
        <v>#DIV/0!</v>
      </c>
      <c r="AQ293" s="39" t="e">
        <f t="shared" si="29"/>
        <v>#DIV/0!</v>
      </c>
    </row>
    <row r="294" spans="1:43" ht="20.100000000000001" customHeight="1" x14ac:dyDescent="0.25">
      <c r="A294" s="8">
        <v>292</v>
      </c>
      <c r="B294" s="48"/>
      <c r="C294" s="48"/>
      <c r="D294" s="48"/>
      <c r="E294" s="49"/>
      <c r="F294" s="49"/>
      <c r="G294" s="49"/>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40">
        <f t="shared" si="24"/>
        <v>0</v>
      </c>
      <c r="AM294" s="37">
        <f t="shared" si="25"/>
        <v>0</v>
      </c>
      <c r="AN294" s="37">
        <f t="shared" si="26"/>
        <v>0</v>
      </c>
      <c r="AO294" s="38" t="e">
        <f t="shared" si="27"/>
        <v>#DIV/0!</v>
      </c>
      <c r="AP294" s="38" t="e">
        <f t="shared" si="28"/>
        <v>#DIV/0!</v>
      </c>
      <c r="AQ294" s="39" t="e">
        <f t="shared" si="29"/>
        <v>#DIV/0!</v>
      </c>
    </row>
    <row r="295" spans="1:43" ht="20.100000000000001" customHeight="1" x14ac:dyDescent="0.25">
      <c r="A295" s="8">
        <v>293</v>
      </c>
      <c r="B295" s="48"/>
      <c r="C295" s="48"/>
      <c r="D295" s="48"/>
      <c r="E295" s="49"/>
      <c r="F295" s="49"/>
      <c r="G295" s="49"/>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40">
        <f t="shared" si="24"/>
        <v>0</v>
      </c>
      <c r="AM295" s="37">
        <f t="shared" si="25"/>
        <v>0</v>
      </c>
      <c r="AN295" s="37">
        <f t="shared" si="26"/>
        <v>0</v>
      </c>
      <c r="AO295" s="38" t="e">
        <f t="shared" si="27"/>
        <v>#DIV/0!</v>
      </c>
      <c r="AP295" s="38" t="e">
        <f t="shared" si="28"/>
        <v>#DIV/0!</v>
      </c>
      <c r="AQ295" s="39" t="e">
        <f t="shared" si="29"/>
        <v>#DIV/0!</v>
      </c>
    </row>
    <row r="296" spans="1:43" ht="20.100000000000001" customHeight="1" x14ac:dyDescent="0.25">
      <c r="A296" s="8">
        <v>294</v>
      </c>
      <c r="B296" s="48"/>
      <c r="C296" s="48"/>
      <c r="D296" s="48"/>
      <c r="E296" s="49"/>
      <c r="F296" s="49"/>
      <c r="G296" s="49"/>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40">
        <f t="shared" si="24"/>
        <v>0</v>
      </c>
      <c r="AM296" s="37">
        <f t="shared" si="25"/>
        <v>0</v>
      </c>
      <c r="AN296" s="37">
        <f t="shared" si="26"/>
        <v>0</v>
      </c>
      <c r="AO296" s="38" t="e">
        <f t="shared" si="27"/>
        <v>#DIV/0!</v>
      </c>
      <c r="AP296" s="38" t="e">
        <f t="shared" si="28"/>
        <v>#DIV/0!</v>
      </c>
      <c r="AQ296" s="39" t="e">
        <f t="shared" si="29"/>
        <v>#DIV/0!</v>
      </c>
    </row>
    <row r="297" spans="1:43" ht="20.100000000000001" customHeight="1" x14ac:dyDescent="0.25">
      <c r="A297" s="8">
        <v>295</v>
      </c>
      <c r="B297" s="48"/>
      <c r="C297" s="48"/>
      <c r="D297" s="48"/>
      <c r="E297" s="49"/>
      <c r="F297" s="49"/>
      <c r="G297" s="49"/>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40">
        <f t="shared" si="24"/>
        <v>0</v>
      </c>
      <c r="AM297" s="37">
        <f t="shared" si="25"/>
        <v>0</v>
      </c>
      <c r="AN297" s="37">
        <f t="shared" si="26"/>
        <v>0</v>
      </c>
      <c r="AO297" s="38" t="e">
        <f t="shared" si="27"/>
        <v>#DIV/0!</v>
      </c>
      <c r="AP297" s="38" t="e">
        <f t="shared" si="28"/>
        <v>#DIV/0!</v>
      </c>
      <c r="AQ297" s="39" t="e">
        <f t="shared" si="29"/>
        <v>#DIV/0!</v>
      </c>
    </row>
    <row r="298" spans="1:43" ht="20.100000000000001" customHeight="1" x14ac:dyDescent="0.25">
      <c r="A298" s="8">
        <v>296</v>
      </c>
      <c r="B298" s="48"/>
      <c r="C298" s="48"/>
      <c r="D298" s="48"/>
      <c r="E298" s="49"/>
      <c r="F298" s="49"/>
      <c r="G298" s="49"/>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40">
        <f t="shared" si="24"/>
        <v>0</v>
      </c>
      <c r="AM298" s="37">
        <f t="shared" si="25"/>
        <v>0</v>
      </c>
      <c r="AN298" s="37">
        <f t="shared" si="26"/>
        <v>0</v>
      </c>
      <c r="AO298" s="38" t="e">
        <f t="shared" si="27"/>
        <v>#DIV/0!</v>
      </c>
      <c r="AP298" s="38" t="e">
        <f t="shared" si="28"/>
        <v>#DIV/0!</v>
      </c>
      <c r="AQ298" s="39" t="e">
        <f t="shared" si="29"/>
        <v>#DIV/0!</v>
      </c>
    </row>
    <row r="299" spans="1:43" ht="20.100000000000001" customHeight="1" x14ac:dyDescent="0.25">
      <c r="A299" s="8">
        <v>297</v>
      </c>
      <c r="B299" s="48"/>
      <c r="C299" s="48"/>
      <c r="D299" s="48"/>
      <c r="E299" s="49"/>
      <c r="F299" s="49"/>
      <c r="G299" s="49"/>
      <c r="H299" s="49"/>
      <c r="I299" s="49"/>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0">
        <f t="shared" si="24"/>
        <v>0</v>
      </c>
      <c r="AM299" s="37">
        <f t="shared" si="25"/>
        <v>0</v>
      </c>
      <c r="AN299" s="37">
        <f t="shared" si="26"/>
        <v>0</v>
      </c>
      <c r="AO299" s="38" t="e">
        <f t="shared" si="27"/>
        <v>#DIV/0!</v>
      </c>
      <c r="AP299" s="38" t="e">
        <f t="shared" si="28"/>
        <v>#DIV/0!</v>
      </c>
      <c r="AQ299" s="39" t="e">
        <f t="shared" si="29"/>
        <v>#DIV/0!</v>
      </c>
    </row>
    <row r="300" spans="1:43" ht="20.100000000000001" customHeight="1" x14ac:dyDescent="0.25">
      <c r="A300" s="8">
        <v>298</v>
      </c>
      <c r="B300" s="48"/>
      <c r="C300" s="48"/>
      <c r="D300" s="48"/>
      <c r="E300" s="49"/>
      <c r="F300" s="49"/>
      <c r="G300" s="49"/>
      <c r="H300" s="49"/>
      <c r="I300" s="49"/>
      <c r="J300" s="49"/>
      <c r="K300" s="49"/>
      <c r="L300" s="49"/>
      <c r="M300" s="49"/>
      <c r="N300" s="49"/>
      <c r="O300" s="49"/>
      <c r="P300" s="49"/>
      <c r="Q300" s="49"/>
      <c r="R300" s="49"/>
      <c r="S300" s="49"/>
      <c r="T300" s="49"/>
      <c r="U300" s="49"/>
      <c r="V300" s="49"/>
      <c r="W300" s="49"/>
      <c r="X300" s="49"/>
      <c r="Y300" s="49"/>
      <c r="Z300" s="49"/>
      <c r="AA300" s="49"/>
      <c r="AB300" s="49"/>
      <c r="AC300" s="49"/>
      <c r="AD300" s="49"/>
      <c r="AE300" s="49"/>
      <c r="AF300" s="49"/>
      <c r="AG300" s="49"/>
      <c r="AH300" s="49"/>
      <c r="AI300" s="49"/>
      <c r="AJ300" s="49"/>
      <c r="AK300" s="49"/>
      <c r="AL300" s="40">
        <f t="shared" si="24"/>
        <v>0</v>
      </c>
      <c r="AM300" s="37">
        <f t="shared" si="25"/>
        <v>0</v>
      </c>
      <c r="AN300" s="37">
        <f t="shared" si="26"/>
        <v>0</v>
      </c>
      <c r="AO300" s="38" t="e">
        <f t="shared" si="27"/>
        <v>#DIV/0!</v>
      </c>
      <c r="AP300" s="38" t="e">
        <f t="shared" si="28"/>
        <v>#DIV/0!</v>
      </c>
      <c r="AQ300" s="39" t="e">
        <f t="shared" si="29"/>
        <v>#DIV/0!</v>
      </c>
    </row>
    <row r="301" spans="1:43" ht="20.100000000000001" customHeight="1" x14ac:dyDescent="0.25">
      <c r="A301" s="8">
        <v>299</v>
      </c>
      <c r="B301" s="48"/>
      <c r="C301" s="48"/>
      <c r="D301" s="48"/>
      <c r="E301" s="49"/>
      <c r="F301" s="49"/>
      <c r="G301" s="49"/>
      <c r="H301" s="49"/>
      <c r="I301" s="49"/>
      <c r="J301" s="49"/>
      <c r="K301" s="49"/>
      <c r="L301" s="49"/>
      <c r="M301" s="49"/>
      <c r="N301" s="49"/>
      <c r="O301" s="49"/>
      <c r="P301" s="49"/>
      <c r="Q301" s="49"/>
      <c r="R301" s="49"/>
      <c r="S301" s="49"/>
      <c r="T301" s="49"/>
      <c r="U301" s="49"/>
      <c r="V301" s="49"/>
      <c r="W301" s="49"/>
      <c r="X301" s="49"/>
      <c r="Y301" s="49"/>
      <c r="Z301" s="49"/>
      <c r="AA301" s="49"/>
      <c r="AB301" s="49"/>
      <c r="AC301" s="49"/>
      <c r="AD301" s="49"/>
      <c r="AE301" s="49"/>
      <c r="AF301" s="49"/>
      <c r="AG301" s="49"/>
      <c r="AH301" s="49"/>
      <c r="AI301" s="49"/>
      <c r="AJ301" s="49"/>
      <c r="AK301" s="49"/>
      <c r="AL301" s="40">
        <f t="shared" si="24"/>
        <v>0</v>
      </c>
      <c r="AM301" s="37">
        <f t="shared" si="25"/>
        <v>0</v>
      </c>
      <c r="AN301" s="37">
        <f t="shared" si="26"/>
        <v>0</v>
      </c>
      <c r="AO301" s="38" t="e">
        <f t="shared" si="27"/>
        <v>#DIV/0!</v>
      </c>
      <c r="AP301" s="38" t="e">
        <f t="shared" si="28"/>
        <v>#DIV/0!</v>
      </c>
      <c r="AQ301" s="39" t="e">
        <f t="shared" si="29"/>
        <v>#DIV/0!</v>
      </c>
    </row>
    <row r="302" spans="1:43" ht="20.100000000000001" customHeight="1" x14ac:dyDescent="0.25">
      <c r="A302" s="8">
        <v>300</v>
      </c>
      <c r="B302" s="48"/>
      <c r="C302" s="48"/>
      <c r="D302" s="48"/>
      <c r="E302" s="49"/>
      <c r="F302" s="49"/>
      <c r="G302" s="49"/>
      <c r="H302" s="49"/>
      <c r="I302" s="49"/>
      <c r="J302" s="49"/>
      <c r="K302" s="49"/>
      <c r="L302" s="49"/>
      <c r="M302" s="49"/>
      <c r="N302" s="49"/>
      <c r="O302" s="49"/>
      <c r="P302" s="49"/>
      <c r="Q302" s="49"/>
      <c r="R302" s="49"/>
      <c r="S302" s="49"/>
      <c r="T302" s="49"/>
      <c r="U302" s="49"/>
      <c r="V302" s="49"/>
      <c r="W302" s="49"/>
      <c r="X302" s="49"/>
      <c r="Y302" s="49"/>
      <c r="Z302" s="49"/>
      <c r="AA302" s="49"/>
      <c r="AB302" s="49"/>
      <c r="AC302" s="49"/>
      <c r="AD302" s="49"/>
      <c r="AE302" s="49"/>
      <c r="AF302" s="49"/>
      <c r="AG302" s="49"/>
      <c r="AH302" s="49"/>
      <c r="AI302" s="49"/>
      <c r="AJ302" s="49"/>
      <c r="AK302" s="49"/>
      <c r="AL302" s="40">
        <f t="shared" si="24"/>
        <v>0</v>
      </c>
      <c r="AM302" s="37">
        <f t="shared" si="25"/>
        <v>0</v>
      </c>
      <c r="AN302" s="37">
        <f t="shared" si="26"/>
        <v>0</v>
      </c>
      <c r="AO302" s="38" t="e">
        <f t="shared" si="27"/>
        <v>#DIV/0!</v>
      </c>
      <c r="AP302" s="38" t="e">
        <f t="shared" si="28"/>
        <v>#DIV/0!</v>
      </c>
      <c r="AQ302" s="39" t="e">
        <f t="shared" si="29"/>
        <v>#DIV/0!</v>
      </c>
    </row>
    <row r="303" spans="1:43" ht="20.100000000000001" customHeight="1" x14ac:dyDescent="0.25">
      <c r="A303" s="8">
        <v>301</v>
      </c>
      <c r="B303" s="48"/>
      <c r="C303" s="48"/>
      <c r="D303" s="48"/>
      <c r="E303" s="49"/>
      <c r="F303" s="49"/>
      <c r="G303" s="49"/>
      <c r="H303" s="49"/>
      <c r="I303" s="49"/>
      <c r="J303" s="49"/>
      <c r="K303" s="49"/>
      <c r="L303" s="49"/>
      <c r="M303" s="49"/>
      <c r="N303" s="49"/>
      <c r="O303" s="49"/>
      <c r="P303" s="49"/>
      <c r="Q303" s="49"/>
      <c r="R303" s="49"/>
      <c r="S303" s="49"/>
      <c r="T303" s="49"/>
      <c r="U303" s="49"/>
      <c r="V303" s="49"/>
      <c r="W303" s="49"/>
      <c r="X303" s="49"/>
      <c r="Y303" s="49"/>
      <c r="Z303" s="49"/>
      <c r="AA303" s="49"/>
      <c r="AB303" s="49"/>
      <c r="AC303" s="49"/>
      <c r="AD303" s="49"/>
      <c r="AE303" s="49"/>
      <c r="AF303" s="49"/>
      <c r="AG303" s="49"/>
      <c r="AH303" s="49"/>
      <c r="AI303" s="49"/>
      <c r="AJ303" s="49"/>
      <c r="AK303" s="49"/>
      <c r="AL303" s="40">
        <f t="shared" si="24"/>
        <v>0</v>
      </c>
      <c r="AM303" s="37">
        <f t="shared" si="25"/>
        <v>0</v>
      </c>
      <c r="AN303" s="37">
        <f t="shared" si="26"/>
        <v>0</v>
      </c>
      <c r="AO303" s="38" t="e">
        <f t="shared" si="27"/>
        <v>#DIV/0!</v>
      </c>
      <c r="AP303" s="38" t="e">
        <f t="shared" si="28"/>
        <v>#DIV/0!</v>
      </c>
      <c r="AQ303" s="39" t="e">
        <f t="shared" si="29"/>
        <v>#DIV/0!</v>
      </c>
    </row>
    <row r="304" spans="1:43" ht="20.100000000000001" customHeight="1" x14ac:dyDescent="0.25">
      <c r="A304" s="8">
        <v>302</v>
      </c>
      <c r="B304" s="48"/>
      <c r="C304" s="48"/>
      <c r="D304" s="48"/>
      <c r="E304" s="49"/>
      <c r="F304" s="49"/>
      <c r="G304" s="49"/>
      <c r="H304" s="49"/>
      <c r="I304" s="49"/>
      <c r="J304" s="49"/>
      <c r="K304" s="49"/>
      <c r="L304" s="49"/>
      <c r="M304" s="49"/>
      <c r="N304" s="49"/>
      <c r="O304" s="49"/>
      <c r="P304" s="49"/>
      <c r="Q304" s="49"/>
      <c r="R304" s="49"/>
      <c r="S304" s="49"/>
      <c r="T304" s="49"/>
      <c r="U304" s="49"/>
      <c r="V304" s="49"/>
      <c r="W304" s="49"/>
      <c r="X304" s="49"/>
      <c r="Y304" s="49"/>
      <c r="Z304" s="49"/>
      <c r="AA304" s="49"/>
      <c r="AB304" s="49"/>
      <c r="AC304" s="49"/>
      <c r="AD304" s="49"/>
      <c r="AE304" s="49"/>
      <c r="AF304" s="49"/>
      <c r="AG304" s="49"/>
      <c r="AH304" s="49"/>
      <c r="AI304" s="49"/>
      <c r="AJ304" s="49"/>
      <c r="AK304" s="49"/>
      <c r="AL304" s="40">
        <f t="shared" si="24"/>
        <v>0</v>
      </c>
      <c r="AM304" s="37">
        <f t="shared" si="25"/>
        <v>0</v>
      </c>
      <c r="AN304" s="37">
        <f t="shared" si="26"/>
        <v>0</v>
      </c>
      <c r="AO304" s="38" t="e">
        <f t="shared" si="27"/>
        <v>#DIV/0!</v>
      </c>
      <c r="AP304" s="38" t="e">
        <f t="shared" si="28"/>
        <v>#DIV/0!</v>
      </c>
      <c r="AQ304" s="39" t="e">
        <f t="shared" si="29"/>
        <v>#DIV/0!</v>
      </c>
    </row>
    <row r="305" spans="1:43" ht="20.100000000000001" customHeight="1" x14ac:dyDescent="0.25">
      <c r="A305" s="8">
        <v>303</v>
      </c>
      <c r="B305" s="48"/>
      <c r="C305" s="48"/>
      <c r="D305" s="48"/>
      <c r="E305" s="49"/>
      <c r="F305" s="49"/>
      <c r="G305" s="49"/>
      <c r="H305" s="49"/>
      <c r="I305" s="49"/>
      <c r="J305" s="49"/>
      <c r="K305" s="49"/>
      <c r="L305" s="49"/>
      <c r="M305" s="49"/>
      <c r="N305" s="49"/>
      <c r="O305" s="49"/>
      <c r="P305" s="49"/>
      <c r="Q305" s="49"/>
      <c r="R305" s="49"/>
      <c r="S305" s="49"/>
      <c r="T305" s="49"/>
      <c r="U305" s="49"/>
      <c r="V305" s="49"/>
      <c r="W305" s="49"/>
      <c r="X305" s="49"/>
      <c r="Y305" s="49"/>
      <c r="Z305" s="49"/>
      <c r="AA305" s="49"/>
      <c r="AB305" s="49"/>
      <c r="AC305" s="49"/>
      <c r="AD305" s="49"/>
      <c r="AE305" s="49"/>
      <c r="AF305" s="49"/>
      <c r="AG305" s="49"/>
      <c r="AH305" s="49"/>
      <c r="AI305" s="49"/>
      <c r="AJ305" s="49"/>
      <c r="AK305" s="49"/>
      <c r="AL305" s="40">
        <f t="shared" si="24"/>
        <v>0</v>
      </c>
      <c r="AM305" s="37">
        <f t="shared" si="25"/>
        <v>0</v>
      </c>
      <c r="AN305" s="37">
        <f t="shared" si="26"/>
        <v>0</v>
      </c>
      <c r="AO305" s="38" t="e">
        <f t="shared" si="27"/>
        <v>#DIV/0!</v>
      </c>
      <c r="AP305" s="38" t="e">
        <f t="shared" si="28"/>
        <v>#DIV/0!</v>
      </c>
      <c r="AQ305" s="39" t="e">
        <f t="shared" si="29"/>
        <v>#DIV/0!</v>
      </c>
    </row>
    <row r="306" spans="1:43" ht="20.100000000000001" customHeight="1" x14ac:dyDescent="0.25">
      <c r="A306" s="8">
        <v>304</v>
      </c>
      <c r="B306" s="48"/>
      <c r="C306" s="48"/>
      <c r="D306" s="48"/>
      <c r="E306" s="49"/>
      <c r="F306" s="49"/>
      <c r="G306" s="49"/>
      <c r="H306" s="49"/>
      <c r="I306" s="49"/>
      <c r="J306" s="49"/>
      <c r="K306" s="49"/>
      <c r="L306" s="49"/>
      <c r="M306" s="49"/>
      <c r="N306" s="49"/>
      <c r="O306" s="49"/>
      <c r="P306" s="49"/>
      <c r="Q306" s="49"/>
      <c r="R306" s="49"/>
      <c r="S306" s="49"/>
      <c r="T306" s="49"/>
      <c r="U306" s="49"/>
      <c r="V306" s="49"/>
      <c r="W306" s="49"/>
      <c r="X306" s="49"/>
      <c r="Y306" s="49"/>
      <c r="Z306" s="49"/>
      <c r="AA306" s="49"/>
      <c r="AB306" s="49"/>
      <c r="AC306" s="49"/>
      <c r="AD306" s="49"/>
      <c r="AE306" s="49"/>
      <c r="AF306" s="49"/>
      <c r="AG306" s="49"/>
      <c r="AH306" s="49"/>
      <c r="AI306" s="49"/>
      <c r="AJ306" s="49"/>
      <c r="AK306" s="49"/>
      <c r="AL306" s="40">
        <f t="shared" si="24"/>
        <v>0</v>
      </c>
      <c r="AM306" s="37">
        <f t="shared" si="25"/>
        <v>0</v>
      </c>
      <c r="AN306" s="37">
        <f t="shared" si="26"/>
        <v>0</v>
      </c>
      <c r="AO306" s="38" t="e">
        <f t="shared" si="27"/>
        <v>#DIV/0!</v>
      </c>
      <c r="AP306" s="38" t="e">
        <f t="shared" si="28"/>
        <v>#DIV/0!</v>
      </c>
      <c r="AQ306" s="39" t="e">
        <f t="shared" si="29"/>
        <v>#DIV/0!</v>
      </c>
    </row>
    <row r="307" spans="1:43" ht="20.100000000000001" customHeight="1" x14ac:dyDescent="0.25">
      <c r="A307" s="8">
        <v>305</v>
      </c>
      <c r="B307" s="48"/>
      <c r="C307" s="48"/>
      <c r="D307" s="48"/>
      <c r="E307" s="49"/>
      <c r="F307" s="49"/>
      <c r="G307" s="49"/>
      <c r="H307" s="49"/>
      <c r="I307" s="49"/>
      <c r="J307" s="49"/>
      <c r="K307" s="49"/>
      <c r="L307" s="49"/>
      <c r="M307" s="49"/>
      <c r="N307" s="49"/>
      <c r="O307" s="49"/>
      <c r="P307" s="49"/>
      <c r="Q307" s="49"/>
      <c r="R307" s="49"/>
      <c r="S307" s="49"/>
      <c r="T307" s="49"/>
      <c r="U307" s="49"/>
      <c r="V307" s="49"/>
      <c r="W307" s="49"/>
      <c r="X307" s="49"/>
      <c r="Y307" s="49"/>
      <c r="Z307" s="49"/>
      <c r="AA307" s="49"/>
      <c r="AB307" s="49"/>
      <c r="AC307" s="49"/>
      <c r="AD307" s="49"/>
      <c r="AE307" s="49"/>
      <c r="AF307" s="49"/>
      <c r="AG307" s="49"/>
      <c r="AH307" s="49"/>
      <c r="AI307" s="49"/>
      <c r="AJ307" s="49"/>
      <c r="AK307" s="49"/>
      <c r="AL307" s="40">
        <f t="shared" si="24"/>
        <v>0</v>
      </c>
      <c r="AM307" s="37">
        <f t="shared" si="25"/>
        <v>0</v>
      </c>
      <c r="AN307" s="37">
        <f t="shared" si="26"/>
        <v>0</v>
      </c>
      <c r="AO307" s="38" t="e">
        <f t="shared" si="27"/>
        <v>#DIV/0!</v>
      </c>
      <c r="AP307" s="38" t="e">
        <f t="shared" si="28"/>
        <v>#DIV/0!</v>
      </c>
      <c r="AQ307" s="39" t="e">
        <f t="shared" si="29"/>
        <v>#DIV/0!</v>
      </c>
    </row>
    <row r="308" spans="1:43" ht="20.100000000000001" customHeight="1" x14ac:dyDescent="0.25">
      <c r="A308" s="8">
        <v>306</v>
      </c>
      <c r="B308" s="48"/>
      <c r="C308" s="48"/>
      <c r="D308" s="48"/>
      <c r="E308" s="49"/>
      <c r="F308" s="49"/>
      <c r="G308" s="49"/>
      <c r="H308" s="49"/>
      <c r="I308" s="49"/>
      <c r="J308" s="49"/>
      <c r="K308" s="49"/>
      <c r="L308" s="49"/>
      <c r="M308" s="49"/>
      <c r="N308" s="49"/>
      <c r="O308" s="49"/>
      <c r="P308" s="49"/>
      <c r="Q308" s="49"/>
      <c r="R308" s="49"/>
      <c r="S308" s="49"/>
      <c r="T308" s="49"/>
      <c r="U308" s="49"/>
      <c r="V308" s="49"/>
      <c r="W308" s="49"/>
      <c r="X308" s="49"/>
      <c r="Y308" s="49"/>
      <c r="Z308" s="49"/>
      <c r="AA308" s="49"/>
      <c r="AB308" s="49"/>
      <c r="AC308" s="49"/>
      <c r="AD308" s="49"/>
      <c r="AE308" s="49"/>
      <c r="AF308" s="49"/>
      <c r="AG308" s="49"/>
      <c r="AH308" s="49"/>
      <c r="AI308" s="49"/>
      <c r="AJ308" s="49"/>
      <c r="AK308" s="49"/>
      <c r="AL308" s="40">
        <f t="shared" si="24"/>
        <v>0</v>
      </c>
      <c r="AM308" s="37">
        <f t="shared" si="25"/>
        <v>0</v>
      </c>
      <c r="AN308" s="37">
        <f t="shared" si="26"/>
        <v>0</v>
      </c>
      <c r="AO308" s="38" t="e">
        <f t="shared" si="27"/>
        <v>#DIV/0!</v>
      </c>
      <c r="AP308" s="38" t="e">
        <f t="shared" si="28"/>
        <v>#DIV/0!</v>
      </c>
      <c r="AQ308" s="39" t="e">
        <f t="shared" si="29"/>
        <v>#DIV/0!</v>
      </c>
    </row>
    <row r="309" spans="1:43" ht="20.100000000000001" customHeight="1" x14ac:dyDescent="0.25">
      <c r="A309" s="8">
        <v>307</v>
      </c>
      <c r="B309" s="48"/>
      <c r="C309" s="48"/>
      <c r="D309" s="48"/>
      <c r="E309" s="49"/>
      <c r="F309" s="49"/>
      <c r="G309" s="49"/>
      <c r="H309" s="49"/>
      <c r="I309" s="49"/>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0">
        <f t="shared" si="24"/>
        <v>0</v>
      </c>
      <c r="AM309" s="37">
        <f t="shared" si="25"/>
        <v>0</v>
      </c>
      <c r="AN309" s="37">
        <f t="shared" si="26"/>
        <v>0</v>
      </c>
      <c r="AO309" s="38" t="e">
        <f t="shared" si="27"/>
        <v>#DIV/0!</v>
      </c>
      <c r="AP309" s="38" t="e">
        <f t="shared" si="28"/>
        <v>#DIV/0!</v>
      </c>
      <c r="AQ309" s="39" t="e">
        <f t="shared" si="29"/>
        <v>#DIV/0!</v>
      </c>
    </row>
    <row r="310" spans="1:43" ht="20.100000000000001" customHeight="1" x14ac:dyDescent="0.25">
      <c r="A310" s="8">
        <v>308</v>
      </c>
      <c r="B310" s="48"/>
      <c r="C310" s="48"/>
      <c r="D310" s="48"/>
      <c r="E310" s="49"/>
      <c r="F310" s="49"/>
      <c r="G310" s="49"/>
      <c r="H310" s="49"/>
      <c r="I310" s="49"/>
      <c r="J310" s="49"/>
      <c r="K310" s="49"/>
      <c r="L310" s="49"/>
      <c r="M310" s="49"/>
      <c r="N310" s="49"/>
      <c r="O310" s="49"/>
      <c r="P310" s="49"/>
      <c r="Q310" s="49"/>
      <c r="R310" s="49"/>
      <c r="S310" s="49"/>
      <c r="T310" s="49"/>
      <c r="U310" s="49"/>
      <c r="V310" s="49"/>
      <c r="W310" s="49"/>
      <c r="X310" s="49"/>
      <c r="Y310" s="49"/>
      <c r="Z310" s="49"/>
      <c r="AA310" s="49"/>
      <c r="AB310" s="49"/>
      <c r="AC310" s="49"/>
      <c r="AD310" s="49"/>
      <c r="AE310" s="49"/>
      <c r="AF310" s="49"/>
      <c r="AG310" s="49"/>
      <c r="AH310" s="49"/>
      <c r="AI310" s="49"/>
      <c r="AJ310" s="49"/>
      <c r="AK310" s="49"/>
      <c r="AL310" s="40">
        <f t="shared" si="24"/>
        <v>0</v>
      </c>
      <c r="AM310" s="37">
        <f t="shared" si="25"/>
        <v>0</v>
      </c>
      <c r="AN310" s="37">
        <f t="shared" si="26"/>
        <v>0</v>
      </c>
      <c r="AO310" s="38" t="e">
        <f t="shared" si="27"/>
        <v>#DIV/0!</v>
      </c>
      <c r="AP310" s="38" t="e">
        <f t="shared" si="28"/>
        <v>#DIV/0!</v>
      </c>
      <c r="AQ310" s="39" t="e">
        <f t="shared" si="29"/>
        <v>#DIV/0!</v>
      </c>
    </row>
    <row r="311" spans="1:43" ht="20.100000000000001" customHeight="1" x14ac:dyDescent="0.25">
      <c r="A311" s="8">
        <v>309</v>
      </c>
      <c r="B311" s="48"/>
      <c r="C311" s="48"/>
      <c r="D311" s="48"/>
      <c r="E311" s="49"/>
      <c r="F311" s="49"/>
      <c r="G311" s="49"/>
      <c r="H311" s="49"/>
      <c r="I311" s="49"/>
      <c r="J311" s="49"/>
      <c r="K311" s="49"/>
      <c r="L311" s="49"/>
      <c r="M311" s="49"/>
      <c r="N311" s="49"/>
      <c r="O311" s="49"/>
      <c r="P311" s="49"/>
      <c r="Q311" s="49"/>
      <c r="R311" s="49"/>
      <c r="S311" s="49"/>
      <c r="T311" s="49"/>
      <c r="U311" s="49"/>
      <c r="V311" s="49"/>
      <c r="W311" s="49"/>
      <c r="X311" s="49"/>
      <c r="Y311" s="49"/>
      <c r="Z311" s="49"/>
      <c r="AA311" s="49"/>
      <c r="AB311" s="49"/>
      <c r="AC311" s="49"/>
      <c r="AD311" s="49"/>
      <c r="AE311" s="49"/>
      <c r="AF311" s="49"/>
      <c r="AG311" s="49"/>
      <c r="AH311" s="49"/>
      <c r="AI311" s="49"/>
      <c r="AJ311" s="49"/>
      <c r="AK311" s="49"/>
      <c r="AL311" s="40">
        <f t="shared" si="24"/>
        <v>0</v>
      </c>
      <c r="AM311" s="37">
        <f t="shared" si="25"/>
        <v>0</v>
      </c>
      <c r="AN311" s="37">
        <f t="shared" si="26"/>
        <v>0</v>
      </c>
      <c r="AO311" s="38" t="e">
        <f t="shared" si="27"/>
        <v>#DIV/0!</v>
      </c>
      <c r="AP311" s="38" t="e">
        <f t="shared" si="28"/>
        <v>#DIV/0!</v>
      </c>
      <c r="AQ311" s="39" t="e">
        <f t="shared" si="29"/>
        <v>#DIV/0!</v>
      </c>
    </row>
    <row r="312" spans="1:43" ht="20.100000000000001" customHeight="1" x14ac:dyDescent="0.25">
      <c r="A312" s="8">
        <v>310</v>
      </c>
      <c r="B312" s="48"/>
      <c r="C312" s="48"/>
      <c r="D312" s="48"/>
      <c r="E312" s="49"/>
      <c r="F312" s="49"/>
      <c r="G312" s="49"/>
      <c r="H312" s="49"/>
      <c r="I312" s="49"/>
      <c r="J312" s="49"/>
      <c r="K312" s="49"/>
      <c r="L312" s="49"/>
      <c r="M312" s="49"/>
      <c r="N312" s="49"/>
      <c r="O312" s="49"/>
      <c r="P312" s="49"/>
      <c r="Q312" s="49"/>
      <c r="R312" s="49"/>
      <c r="S312" s="49"/>
      <c r="T312" s="49"/>
      <c r="U312" s="49"/>
      <c r="V312" s="49"/>
      <c r="W312" s="49"/>
      <c r="X312" s="49"/>
      <c r="Y312" s="49"/>
      <c r="Z312" s="49"/>
      <c r="AA312" s="49"/>
      <c r="AB312" s="49"/>
      <c r="AC312" s="49"/>
      <c r="AD312" s="49"/>
      <c r="AE312" s="49"/>
      <c r="AF312" s="49"/>
      <c r="AG312" s="49"/>
      <c r="AH312" s="49"/>
      <c r="AI312" s="49"/>
      <c r="AJ312" s="49"/>
      <c r="AK312" s="49"/>
      <c r="AL312" s="40">
        <f t="shared" si="24"/>
        <v>0</v>
      </c>
      <c r="AM312" s="37">
        <f t="shared" si="25"/>
        <v>0</v>
      </c>
      <c r="AN312" s="37">
        <f t="shared" si="26"/>
        <v>0</v>
      </c>
      <c r="AO312" s="38" t="e">
        <f t="shared" si="27"/>
        <v>#DIV/0!</v>
      </c>
      <c r="AP312" s="38" t="e">
        <f t="shared" si="28"/>
        <v>#DIV/0!</v>
      </c>
      <c r="AQ312" s="39" t="e">
        <f t="shared" si="29"/>
        <v>#DIV/0!</v>
      </c>
    </row>
    <row r="313" spans="1:43" ht="20.100000000000001" customHeight="1" x14ac:dyDescent="0.25">
      <c r="A313" s="8">
        <v>311</v>
      </c>
      <c r="B313" s="48"/>
      <c r="C313" s="48"/>
      <c r="D313" s="48"/>
      <c r="E313" s="49"/>
      <c r="F313" s="49"/>
      <c r="G313" s="49"/>
      <c r="H313" s="49"/>
      <c r="I313" s="49"/>
      <c r="J313" s="49"/>
      <c r="K313" s="49"/>
      <c r="L313" s="49"/>
      <c r="M313" s="49"/>
      <c r="N313" s="49"/>
      <c r="O313" s="49"/>
      <c r="P313" s="49"/>
      <c r="Q313" s="49"/>
      <c r="R313" s="49"/>
      <c r="S313" s="49"/>
      <c r="T313" s="49"/>
      <c r="U313" s="49"/>
      <c r="V313" s="49"/>
      <c r="W313" s="49"/>
      <c r="X313" s="49"/>
      <c r="Y313" s="49"/>
      <c r="Z313" s="49"/>
      <c r="AA313" s="49"/>
      <c r="AB313" s="49"/>
      <c r="AC313" s="49"/>
      <c r="AD313" s="49"/>
      <c r="AE313" s="49"/>
      <c r="AF313" s="49"/>
      <c r="AG313" s="49"/>
      <c r="AH313" s="49"/>
      <c r="AI313" s="49"/>
      <c r="AJ313" s="49"/>
      <c r="AK313" s="49"/>
      <c r="AL313" s="40">
        <f t="shared" si="24"/>
        <v>0</v>
      </c>
      <c r="AM313" s="37">
        <f t="shared" si="25"/>
        <v>0</v>
      </c>
      <c r="AN313" s="37">
        <f t="shared" si="26"/>
        <v>0</v>
      </c>
      <c r="AO313" s="38" t="e">
        <f t="shared" si="27"/>
        <v>#DIV/0!</v>
      </c>
      <c r="AP313" s="38" t="e">
        <f t="shared" si="28"/>
        <v>#DIV/0!</v>
      </c>
      <c r="AQ313" s="39" t="e">
        <f t="shared" si="29"/>
        <v>#DIV/0!</v>
      </c>
    </row>
    <row r="314" spans="1:43" ht="20.100000000000001" customHeight="1" x14ac:dyDescent="0.25">
      <c r="A314" s="8">
        <v>312</v>
      </c>
      <c r="B314" s="48"/>
      <c r="C314" s="48"/>
      <c r="D314" s="48"/>
      <c r="E314" s="49"/>
      <c r="F314" s="49"/>
      <c r="G314" s="49"/>
      <c r="H314" s="49"/>
      <c r="I314" s="49"/>
      <c r="J314" s="49"/>
      <c r="K314" s="49"/>
      <c r="L314" s="49"/>
      <c r="M314" s="49"/>
      <c r="N314" s="49"/>
      <c r="O314" s="49"/>
      <c r="P314" s="49"/>
      <c r="Q314" s="49"/>
      <c r="R314" s="49"/>
      <c r="S314" s="49"/>
      <c r="T314" s="49"/>
      <c r="U314" s="49"/>
      <c r="V314" s="49"/>
      <c r="W314" s="49"/>
      <c r="X314" s="49"/>
      <c r="Y314" s="49"/>
      <c r="Z314" s="49"/>
      <c r="AA314" s="49"/>
      <c r="AB314" s="49"/>
      <c r="AC314" s="49"/>
      <c r="AD314" s="49"/>
      <c r="AE314" s="49"/>
      <c r="AF314" s="49"/>
      <c r="AG314" s="49"/>
      <c r="AH314" s="49"/>
      <c r="AI314" s="49"/>
      <c r="AJ314" s="49"/>
      <c r="AK314" s="49"/>
      <c r="AL314" s="40">
        <f t="shared" si="24"/>
        <v>0</v>
      </c>
      <c r="AM314" s="37">
        <f t="shared" si="25"/>
        <v>0</v>
      </c>
      <c r="AN314" s="37">
        <f t="shared" si="26"/>
        <v>0</v>
      </c>
      <c r="AO314" s="38" t="e">
        <f t="shared" si="27"/>
        <v>#DIV/0!</v>
      </c>
      <c r="AP314" s="38" t="e">
        <f t="shared" si="28"/>
        <v>#DIV/0!</v>
      </c>
      <c r="AQ314" s="39" t="e">
        <f t="shared" si="29"/>
        <v>#DIV/0!</v>
      </c>
    </row>
    <row r="315" spans="1:43" ht="20.100000000000001" customHeight="1" x14ac:dyDescent="0.25">
      <c r="A315" s="8">
        <v>313</v>
      </c>
      <c r="B315" s="48"/>
      <c r="C315" s="48"/>
      <c r="D315" s="48"/>
      <c r="E315" s="49"/>
      <c r="F315" s="49"/>
      <c r="G315" s="49"/>
      <c r="H315" s="49"/>
      <c r="I315" s="49"/>
      <c r="J315" s="49"/>
      <c r="K315" s="49"/>
      <c r="L315" s="49"/>
      <c r="M315" s="49"/>
      <c r="N315" s="49"/>
      <c r="O315" s="49"/>
      <c r="P315" s="49"/>
      <c r="Q315" s="49"/>
      <c r="R315" s="49"/>
      <c r="S315" s="49"/>
      <c r="T315" s="49"/>
      <c r="U315" s="49"/>
      <c r="V315" s="49"/>
      <c r="W315" s="49"/>
      <c r="X315" s="49"/>
      <c r="Y315" s="49"/>
      <c r="Z315" s="49"/>
      <c r="AA315" s="49"/>
      <c r="AB315" s="49"/>
      <c r="AC315" s="49"/>
      <c r="AD315" s="49"/>
      <c r="AE315" s="49"/>
      <c r="AF315" s="49"/>
      <c r="AG315" s="49"/>
      <c r="AH315" s="49"/>
      <c r="AI315" s="49"/>
      <c r="AJ315" s="49"/>
      <c r="AK315" s="49"/>
      <c r="AL315" s="40">
        <f t="shared" si="24"/>
        <v>0</v>
      </c>
      <c r="AM315" s="37">
        <f t="shared" si="25"/>
        <v>0</v>
      </c>
      <c r="AN315" s="37">
        <f t="shared" si="26"/>
        <v>0</v>
      </c>
      <c r="AO315" s="38" t="e">
        <f t="shared" si="27"/>
        <v>#DIV/0!</v>
      </c>
      <c r="AP315" s="38" t="e">
        <f t="shared" si="28"/>
        <v>#DIV/0!</v>
      </c>
      <c r="AQ315" s="39" t="e">
        <f t="shared" si="29"/>
        <v>#DIV/0!</v>
      </c>
    </row>
    <row r="316" spans="1:43" ht="20.100000000000001" customHeight="1" x14ac:dyDescent="0.25">
      <c r="A316" s="8">
        <v>314</v>
      </c>
      <c r="B316" s="48"/>
      <c r="C316" s="48"/>
      <c r="D316" s="48"/>
      <c r="E316" s="49"/>
      <c r="F316" s="49"/>
      <c r="G316" s="49"/>
      <c r="H316" s="49"/>
      <c r="I316" s="49"/>
      <c r="J316" s="49"/>
      <c r="K316" s="49"/>
      <c r="L316" s="49"/>
      <c r="M316" s="49"/>
      <c r="N316" s="49"/>
      <c r="O316" s="49"/>
      <c r="P316" s="49"/>
      <c r="Q316" s="49"/>
      <c r="R316" s="49"/>
      <c r="S316" s="49"/>
      <c r="T316" s="49"/>
      <c r="U316" s="49"/>
      <c r="V316" s="49"/>
      <c r="W316" s="49"/>
      <c r="X316" s="49"/>
      <c r="Y316" s="49"/>
      <c r="Z316" s="49"/>
      <c r="AA316" s="49"/>
      <c r="AB316" s="49"/>
      <c r="AC316" s="49"/>
      <c r="AD316" s="49"/>
      <c r="AE316" s="49"/>
      <c r="AF316" s="49"/>
      <c r="AG316" s="49"/>
      <c r="AH316" s="49"/>
      <c r="AI316" s="49"/>
      <c r="AJ316" s="49"/>
      <c r="AK316" s="49"/>
      <c r="AL316" s="40">
        <f t="shared" si="24"/>
        <v>0</v>
      </c>
      <c r="AM316" s="37">
        <f t="shared" si="25"/>
        <v>0</v>
      </c>
      <c r="AN316" s="37">
        <f t="shared" si="26"/>
        <v>0</v>
      </c>
      <c r="AO316" s="38" t="e">
        <f t="shared" si="27"/>
        <v>#DIV/0!</v>
      </c>
      <c r="AP316" s="38" t="e">
        <f t="shared" si="28"/>
        <v>#DIV/0!</v>
      </c>
      <c r="AQ316" s="39" t="e">
        <f t="shared" si="29"/>
        <v>#DIV/0!</v>
      </c>
    </row>
    <row r="317" spans="1:43" ht="20.100000000000001" customHeight="1" x14ac:dyDescent="0.25">
      <c r="A317" s="8">
        <v>315</v>
      </c>
      <c r="B317" s="48"/>
      <c r="C317" s="48"/>
      <c r="D317" s="48"/>
      <c r="E317" s="49"/>
      <c r="F317" s="49"/>
      <c r="G317" s="49"/>
      <c r="H317" s="49"/>
      <c r="I317" s="49"/>
      <c r="J317" s="49"/>
      <c r="K317" s="49"/>
      <c r="L317" s="49"/>
      <c r="M317" s="49"/>
      <c r="N317" s="49"/>
      <c r="O317" s="49"/>
      <c r="P317" s="49"/>
      <c r="Q317" s="49"/>
      <c r="R317" s="49"/>
      <c r="S317" s="49"/>
      <c r="T317" s="49"/>
      <c r="U317" s="49"/>
      <c r="V317" s="49"/>
      <c r="W317" s="49"/>
      <c r="X317" s="49"/>
      <c r="Y317" s="49"/>
      <c r="Z317" s="49"/>
      <c r="AA317" s="49"/>
      <c r="AB317" s="49"/>
      <c r="AC317" s="49"/>
      <c r="AD317" s="49"/>
      <c r="AE317" s="49"/>
      <c r="AF317" s="49"/>
      <c r="AG317" s="49"/>
      <c r="AH317" s="49"/>
      <c r="AI317" s="49"/>
      <c r="AJ317" s="49"/>
      <c r="AK317" s="49"/>
      <c r="AL317" s="40">
        <f t="shared" si="24"/>
        <v>0</v>
      </c>
      <c r="AM317" s="37">
        <f t="shared" si="25"/>
        <v>0</v>
      </c>
      <c r="AN317" s="37">
        <f t="shared" si="26"/>
        <v>0</v>
      </c>
      <c r="AO317" s="38" t="e">
        <f t="shared" si="27"/>
        <v>#DIV/0!</v>
      </c>
      <c r="AP317" s="38" t="e">
        <f t="shared" si="28"/>
        <v>#DIV/0!</v>
      </c>
      <c r="AQ317" s="39" t="e">
        <f t="shared" si="29"/>
        <v>#DIV/0!</v>
      </c>
    </row>
    <row r="318" spans="1:43" ht="20.100000000000001" customHeight="1" x14ac:dyDescent="0.25">
      <c r="A318" s="8">
        <v>316</v>
      </c>
      <c r="B318" s="48"/>
      <c r="C318" s="48"/>
      <c r="D318" s="48"/>
      <c r="E318" s="49"/>
      <c r="F318" s="49"/>
      <c r="G318" s="49"/>
      <c r="H318" s="49"/>
      <c r="I318" s="49"/>
      <c r="J318" s="49"/>
      <c r="K318" s="49"/>
      <c r="L318" s="49"/>
      <c r="M318" s="49"/>
      <c r="N318" s="49"/>
      <c r="O318" s="49"/>
      <c r="P318" s="49"/>
      <c r="Q318" s="49"/>
      <c r="R318" s="49"/>
      <c r="S318" s="49"/>
      <c r="T318" s="49"/>
      <c r="U318" s="49"/>
      <c r="V318" s="49"/>
      <c r="W318" s="49"/>
      <c r="X318" s="49"/>
      <c r="Y318" s="49"/>
      <c r="Z318" s="49"/>
      <c r="AA318" s="49"/>
      <c r="AB318" s="49"/>
      <c r="AC318" s="49"/>
      <c r="AD318" s="49"/>
      <c r="AE318" s="49"/>
      <c r="AF318" s="49"/>
      <c r="AG318" s="49"/>
      <c r="AH318" s="49"/>
      <c r="AI318" s="49"/>
      <c r="AJ318" s="49"/>
      <c r="AK318" s="49"/>
      <c r="AL318" s="40">
        <f t="shared" si="24"/>
        <v>0</v>
      </c>
      <c r="AM318" s="37">
        <f t="shared" si="25"/>
        <v>0</v>
      </c>
      <c r="AN318" s="37">
        <f t="shared" si="26"/>
        <v>0</v>
      </c>
      <c r="AO318" s="38" t="e">
        <f t="shared" si="27"/>
        <v>#DIV/0!</v>
      </c>
      <c r="AP318" s="38" t="e">
        <f t="shared" si="28"/>
        <v>#DIV/0!</v>
      </c>
      <c r="AQ318" s="39" t="e">
        <f t="shared" si="29"/>
        <v>#DIV/0!</v>
      </c>
    </row>
    <row r="319" spans="1:43" ht="20.100000000000001" customHeight="1" x14ac:dyDescent="0.25">
      <c r="A319" s="8">
        <v>317</v>
      </c>
      <c r="B319" s="48"/>
      <c r="C319" s="48"/>
      <c r="D319" s="48"/>
      <c r="E319" s="49"/>
      <c r="F319" s="49"/>
      <c r="G319" s="49"/>
      <c r="H319" s="49"/>
      <c r="I319" s="49"/>
      <c r="J319" s="49"/>
      <c r="K319" s="49"/>
      <c r="L319" s="49"/>
      <c r="M319" s="49"/>
      <c r="N319" s="49"/>
      <c r="O319" s="49"/>
      <c r="P319" s="49"/>
      <c r="Q319" s="49"/>
      <c r="R319" s="49"/>
      <c r="S319" s="49"/>
      <c r="T319" s="49"/>
      <c r="U319" s="49"/>
      <c r="V319" s="49"/>
      <c r="W319" s="49"/>
      <c r="X319" s="49"/>
      <c r="Y319" s="49"/>
      <c r="Z319" s="49"/>
      <c r="AA319" s="49"/>
      <c r="AB319" s="49"/>
      <c r="AC319" s="49"/>
      <c r="AD319" s="49"/>
      <c r="AE319" s="49"/>
      <c r="AF319" s="49"/>
      <c r="AG319" s="49"/>
      <c r="AH319" s="49"/>
      <c r="AI319" s="49"/>
      <c r="AJ319" s="49"/>
      <c r="AK319" s="49"/>
      <c r="AL319" s="40">
        <f t="shared" si="24"/>
        <v>0</v>
      </c>
      <c r="AM319" s="37">
        <f t="shared" si="25"/>
        <v>0</v>
      </c>
      <c r="AN319" s="37">
        <f t="shared" si="26"/>
        <v>0</v>
      </c>
      <c r="AO319" s="38" t="e">
        <f t="shared" si="27"/>
        <v>#DIV/0!</v>
      </c>
      <c r="AP319" s="38" t="e">
        <f t="shared" si="28"/>
        <v>#DIV/0!</v>
      </c>
      <c r="AQ319" s="39" t="e">
        <f t="shared" si="29"/>
        <v>#DIV/0!</v>
      </c>
    </row>
    <row r="320" spans="1:43" ht="20.100000000000001" customHeight="1" x14ac:dyDescent="0.25">
      <c r="A320" s="8">
        <v>318</v>
      </c>
      <c r="B320" s="48"/>
      <c r="C320" s="48"/>
      <c r="D320" s="48"/>
      <c r="E320" s="49"/>
      <c r="F320" s="49"/>
      <c r="G320" s="49"/>
      <c r="H320" s="49"/>
      <c r="I320" s="49"/>
      <c r="J320" s="49"/>
      <c r="K320" s="49"/>
      <c r="L320" s="49"/>
      <c r="M320" s="49"/>
      <c r="N320" s="49"/>
      <c r="O320" s="49"/>
      <c r="P320" s="49"/>
      <c r="Q320" s="49"/>
      <c r="R320" s="49"/>
      <c r="S320" s="49"/>
      <c r="T320" s="49"/>
      <c r="U320" s="49"/>
      <c r="V320" s="49"/>
      <c r="W320" s="49"/>
      <c r="X320" s="49"/>
      <c r="Y320" s="49"/>
      <c r="Z320" s="49"/>
      <c r="AA320" s="49"/>
      <c r="AB320" s="49"/>
      <c r="AC320" s="49"/>
      <c r="AD320" s="49"/>
      <c r="AE320" s="49"/>
      <c r="AF320" s="49"/>
      <c r="AG320" s="49"/>
      <c r="AH320" s="49"/>
      <c r="AI320" s="49"/>
      <c r="AJ320" s="49"/>
      <c r="AK320" s="49"/>
      <c r="AL320" s="40">
        <f t="shared" si="24"/>
        <v>0</v>
      </c>
      <c r="AM320" s="37">
        <f t="shared" si="25"/>
        <v>0</v>
      </c>
      <c r="AN320" s="37">
        <f t="shared" si="26"/>
        <v>0</v>
      </c>
      <c r="AO320" s="38" t="e">
        <f t="shared" si="27"/>
        <v>#DIV/0!</v>
      </c>
      <c r="AP320" s="38" t="e">
        <f t="shared" si="28"/>
        <v>#DIV/0!</v>
      </c>
      <c r="AQ320" s="39" t="e">
        <f t="shared" si="29"/>
        <v>#DIV/0!</v>
      </c>
    </row>
    <row r="321" spans="1:43" ht="20.100000000000001" customHeight="1" x14ac:dyDescent="0.25">
      <c r="A321" s="8">
        <v>319</v>
      </c>
      <c r="B321" s="48"/>
      <c r="C321" s="48"/>
      <c r="D321" s="48"/>
      <c r="E321" s="49"/>
      <c r="F321" s="49"/>
      <c r="G321" s="49"/>
      <c r="H321" s="49"/>
      <c r="I321" s="49"/>
      <c r="J321" s="49"/>
      <c r="K321" s="49"/>
      <c r="L321" s="49"/>
      <c r="M321" s="49"/>
      <c r="N321" s="49"/>
      <c r="O321" s="49"/>
      <c r="P321" s="49"/>
      <c r="Q321" s="49"/>
      <c r="R321" s="49"/>
      <c r="S321" s="49"/>
      <c r="T321" s="49"/>
      <c r="U321" s="49"/>
      <c r="V321" s="49"/>
      <c r="W321" s="49"/>
      <c r="X321" s="49"/>
      <c r="Y321" s="49"/>
      <c r="Z321" s="49"/>
      <c r="AA321" s="49"/>
      <c r="AB321" s="49"/>
      <c r="AC321" s="49"/>
      <c r="AD321" s="49"/>
      <c r="AE321" s="49"/>
      <c r="AF321" s="49"/>
      <c r="AG321" s="49"/>
      <c r="AH321" s="49"/>
      <c r="AI321" s="49"/>
      <c r="AJ321" s="49"/>
      <c r="AK321" s="49"/>
      <c r="AL321" s="40">
        <f t="shared" si="24"/>
        <v>0</v>
      </c>
      <c r="AM321" s="37">
        <f t="shared" si="25"/>
        <v>0</v>
      </c>
      <c r="AN321" s="37">
        <f t="shared" si="26"/>
        <v>0</v>
      </c>
      <c r="AO321" s="38" t="e">
        <f t="shared" si="27"/>
        <v>#DIV/0!</v>
      </c>
      <c r="AP321" s="38" t="e">
        <f t="shared" si="28"/>
        <v>#DIV/0!</v>
      </c>
      <c r="AQ321" s="39" t="e">
        <f t="shared" si="29"/>
        <v>#DIV/0!</v>
      </c>
    </row>
    <row r="322" spans="1:43" ht="20.100000000000001" customHeight="1" x14ac:dyDescent="0.25">
      <c r="A322" s="8">
        <v>320</v>
      </c>
      <c r="B322" s="48"/>
      <c r="C322" s="48"/>
      <c r="D322" s="48"/>
      <c r="E322" s="49"/>
      <c r="F322" s="49"/>
      <c r="G322" s="49"/>
      <c r="H322" s="49"/>
      <c r="I322" s="49"/>
      <c r="J322" s="49"/>
      <c r="K322" s="49"/>
      <c r="L322" s="49"/>
      <c r="M322" s="49"/>
      <c r="N322" s="49"/>
      <c r="O322" s="49"/>
      <c r="P322" s="49"/>
      <c r="Q322" s="49"/>
      <c r="R322" s="49"/>
      <c r="S322" s="49"/>
      <c r="T322" s="49"/>
      <c r="U322" s="49"/>
      <c r="V322" s="49"/>
      <c r="W322" s="49"/>
      <c r="X322" s="49"/>
      <c r="Y322" s="49"/>
      <c r="Z322" s="49"/>
      <c r="AA322" s="49"/>
      <c r="AB322" s="49"/>
      <c r="AC322" s="49"/>
      <c r="AD322" s="49"/>
      <c r="AE322" s="49"/>
      <c r="AF322" s="49"/>
      <c r="AG322" s="49"/>
      <c r="AH322" s="49"/>
      <c r="AI322" s="49"/>
      <c r="AJ322" s="49"/>
      <c r="AK322" s="49"/>
      <c r="AL322" s="40">
        <f t="shared" si="24"/>
        <v>0</v>
      </c>
      <c r="AM322" s="37">
        <f t="shared" si="25"/>
        <v>0</v>
      </c>
      <c r="AN322" s="37">
        <f t="shared" si="26"/>
        <v>0</v>
      </c>
      <c r="AO322" s="38" t="e">
        <f t="shared" si="27"/>
        <v>#DIV/0!</v>
      </c>
      <c r="AP322" s="38" t="e">
        <f t="shared" si="28"/>
        <v>#DIV/0!</v>
      </c>
      <c r="AQ322" s="39" t="e">
        <f t="shared" si="29"/>
        <v>#DIV/0!</v>
      </c>
    </row>
    <row r="323" spans="1:43" ht="20.100000000000001" customHeight="1" x14ac:dyDescent="0.25">
      <c r="A323" s="8">
        <v>321</v>
      </c>
      <c r="B323" s="48"/>
      <c r="C323" s="48"/>
      <c r="D323" s="48"/>
      <c r="E323" s="49"/>
      <c r="F323" s="49"/>
      <c r="G323" s="49"/>
      <c r="H323" s="49"/>
      <c r="I323" s="49"/>
      <c r="J323" s="49"/>
      <c r="K323" s="49"/>
      <c r="L323" s="49"/>
      <c r="M323" s="49"/>
      <c r="N323" s="49"/>
      <c r="O323" s="49"/>
      <c r="P323" s="49"/>
      <c r="Q323" s="49"/>
      <c r="R323" s="49"/>
      <c r="S323" s="49"/>
      <c r="T323" s="49"/>
      <c r="U323" s="49"/>
      <c r="V323" s="49"/>
      <c r="W323" s="49"/>
      <c r="X323" s="49"/>
      <c r="Y323" s="49"/>
      <c r="Z323" s="49"/>
      <c r="AA323" s="49"/>
      <c r="AB323" s="49"/>
      <c r="AC323" s="49"/>
      <c r="AD323" s="49"/>
      <c r="AE323" s="49"/>
      <c r="AF323" s="49"/>
      <c r="AG323" s="49"/>
      <c r="AH323" s="49"/>
      <c r="AI323" s="49"/>
      <c r="AJ323" s="49"/>
      <c r="AK323" s="49"/>
      <c r="AL323" s="40">
        <f t="shared" ref="AL323:AL386" si="30">COUNTIF($H323:$AK323,1)</f>
        <v>0</v>
      </c>
      <c r="AM323" s="37">
        <f t="shared" ref="AM323:AM386" si="31">COUNTIF($H323:$AK323,0)</f>
        <v>0</v>
      </c>
      <c r="AN323" s="37">
        <f t="shared" si="26"/>
        <v>0</v>
      </c>
      <c r="AO323" s="38" t="e">
        <f t="shared" si="27"/>
        <v>#DIV/0!</v>
      </c>
      <c r="AP323" s="38" t="e">
        <f t="shared" si="28"/>
        <v>#DIV/0!</v>
      </c>
      <c r="AQ323" s="39" t="e">
        <f t="shared" si="29"/>
        <v>#DIV/0!</v>
      </c>
    </row>
    <row r="324" spans="1:43" ht="20.100000000000001" customHeight="1" x14ac:dyDescent="0.25">
      <c r="A324" s="8">
        <v>322</v>
      </c>
      <c r="B324" s="48"/>
      <c r="C324" s="48"/>
      <c r="D324" s="48"/>
      <c r="E324" s="49"/>
      <c r="F324" s="49"/>
      <c r="G324" s="49"/>
      <c r="H324" s="49"/>
      <c r="I324" s="49"/>
      <c r="J324" s="49"/>
      <c r="K324" s="49"/>
      <c r="L324" s="49"/>
      <c r="M324" s="49"/>
      <c r="N324" s="49"/>
      <c r="O324" s="49"/>
      <c r="P324" s="49"/>
      <c r="Q324" s="49"/>
      <c r="R324" s="49"/>
      <c r="S324" s="49"/>
      <c r="T324" s="49"/>
      <c r="U324" s="49"/>
      <c r="V324" s="49"/>
      <c r="W324" s="49"/>
      <c r="X324" s="49"/>
      <c r="Y324" s="49"/>
      <c r="Z324" s="49"/>
      <c r="AA324" s="49"/>
      <c r="AB324" s="49"/>
      <c r="AC324" s="49"/>
      <c r="AD324" s="49"/>
      <c r="AE324" s="49"/>
      <c r="AF324" s="49"/>
      <c r="AG324" s="49"/>
      <c r="AH324" s="49"/>
      <c r="AI324" s="49"/>
      <c r="AJ324" s="49"/>
      <c r="AK324" s="49"/>
      <c r="AL324" s="40">
        <f t="shared" si="30"/>
        <v>0</v>
      </c>
      <c r="AM324" s="37">
        <f t="shared" si="31"/>
        <v>0</v>
      </c>
      <c r="AN324" s="37">
        <f t="shared" ref="AN324:AN387" si="32">SUM(AL324:AM324)</f>
        <v>0</v>
      </c>
      <c r="AO324" s="38" t="e">
        <f t="shared" ref="AO324:AO387" si="33">(AL324/AN324)*100</f>
        <v>#DIV/0!</v>
      </c>
      <c r="AP324" s="38" t="e">
        <f t="shared" ref="AP324:AP387" si="34">(AM324/AN324)*100</f>
        <v>#DIV/0!</v>
      </c>
      <c r="AQ324" s="39" t="e">
        <f t="shared" ref="AQ324:AQ387" si="35">SUM(AO324:AP324)</f>
        <v>#DIV/0!</v>
      </c>
    </row>
    <row r="325" spans="1:43" ht="20.100000000000001" customHeight="1" x14ac:dyDescent="0.25">
      <c r="A325" s="8">
        <v>323</v>
      </c>
      <c r="B325" s="48"/>
      <c r="C325" s="48"/>
      <c r="D325" s="48"/>
      <c r="E325" s="49"/>
      <c r="F325" s="49"/>
      <c r="G325" s="49"/>
      <c r="H325" s="49"/>
      <c r="I325" s="49"/>
      <c r="J325" s="49"/>
      <c r="K325" s="49"/>
      <c r="L325" s="49"/>
      <c r="M325" s="49"/>
      <c r="N325" s="49"/>
      <c r="O325" s="49"/>
      <c r="P325" s="49"/>
      <c r="Q325" s="49"/>
      <c r="R325" s="49"/>
      <c r="S325" s="49"/>
      <c r="T325" s="49"/>
      <c r="U325" s="49"/>
      <c r="V325" s="49"/>
      <c r="W325" s="49"/>
      <c r="X325" s="49"/>
      <c r="Y325" s="49"/>
      <c r="Z325" s="49"/>
      <c r="AA325" s="49"/>
      <c r="AB325" s="49"/>
      <c r="AC325" s="49"/>
      <c r="AD325" s="49"/>
      <c r="AE325" s="49"/>
      <c r="AF325" s="49"/>
      <c r="AG325" s="49"/>
      <c r="AH325" s="49"/>
      <c r="AI325" s="49"/>
      <c r="AJ325" s="49"/>
      <c r="AK325" s="49"/>
      <c r="AL325" s="40">
        <f t="shared" si="30"/>
        <v>0</v>
      </c>
      <c r="AM325" s="37">
        <f t="shared" si="31"/>
        <v>0</v>
      </c>
      <c r="AN325" s="37">
        <f t="shared" si="32"/>
        <v>0</v>
      </c>
      <c r="AO325" s="38" t="e">
        <f t="shared" si="33"/>
        <v>#DIV/0!</v>
      </c>
      <c r="AP325" s="38" t="e">
        <f t="shared" si="34"/>
        <v>#DIV/0!</v>
      </c>
      <c r="AQ325" s="39" t="e">
        <f t="shared" si="35"/>
        <v>#DIV/0!</v>
      </c>
    </row>
    <row r="326" spans="1:43" ht="20.100000000000001" customHeight="1" x14ac:dyDescent="0.25">
      <c r="A326" s="8">
        <v>324</v>
      </c>
      <c r="B326" s="48"/>
      <c r="C326" s="48"/>
      <c r="D326" s="48"/>
      <c r="E326" s="49"/>
      <c r="F326" s="49"/>
      <c r="G326" s="49"/>
      <c r="H326" s="49"/>
      <c r="I326" s="49"/>
      <c r="J326" s="49"/>
      <c r="K326" s="49"/>
      <c r="L326" s="49"/>
      <c r="M326" s="49"/>
      <c r="N326" s="49"/>
      <c r="O326" s="49"/>
      <c r="P326" s="49"/>
      <c r="Q326" s="49"/>
      <c r="R326" s="49"/>
      <c r="S326" s="49"/>
      <c r="T326" s="49"/>
      <c r="U326" s="49"/>
      <c r="V326" s="49"/>
      <c r="W326" s="49"/>
      <c r="X326" s="49"/>
      <c r="Y326" s="49"/>
      <c r="Z326" s="49"/>
      <c r="AA326" s="49"/>
      <c r="AB326" s="49"/>
      <c r="AC326" s="49"/>
      <c r="AD326" s="49"/>
      <c r="AE326" s="49"/>
      <c r="AF326" s="49"/>
      <c r="AG326" s="49"/>
      <c r="AH326" s="49"/>
      <c r="AI326" s="49"/>
      <c r="AJ326" s="49"/>
      <c r="AK326" s="49"/>
      <c r="AL326" s="40">
        <f t="shared" si="30"/>
        <v>0</v>
      </c>
      <c r="AM326" s="37">
        <f t="shared" si="31"/>
        <v>0</v>
      </c>
      <c r="AN326" s="37">
        <f t="shared" si="32"/>
        <v>0</v>
      </c>
      <c r="AO326" s="38" t="e">
        <f t="shared" si="33"/>
        <v>#DIV/0!</v>
      </c>
      <c r="AP326" s="38" t="e">
        <f t="shared" si="34"/>
        <v>#DIV/0!</v>
      </c>
      <c r="AQ326" s="39" t="e">
        <f t="shared" si="35"/>
        <v>#DIV/0!</v>
      </c>
    </row>
    <row r="327" spans="1:43" ht="20.100000000000001" customHeight="1" x14ac:dyDescent="0.25">
      <c r="A327" s="8">
        <v>325</v>
      </c>
      <c r="B327" s="48"/>
      <c r="C327" s="48"/>
      <c r="D327" s="48"/>
      <c r="E327" s="49"/>
      <c r="F327" s="49"/>
      <c r="G327" s="49"/>
      <c r="H327" s="49"/>
      <c r="I327" s="49"/>
      <c r="J327" s="49"/>
      <c r="K327" s="49"/>
      <c r="L327" s="49"/>
      <c r="M327" s="49"/>
      <c r="N327" s="49"/>
      <c r="O327" s="49"/>
      <c r="P327" s="49"/>
      <c r="Q327" s="49"/>
      <c r="R327" s="49"/>
      <c r="S327" s="49"/>
      <c r="T327" s="49"/>
      <c r="U327" s="49"/>
      <c r="V327" s="49"/>
      <c r="W327" s="49"/>
      <c r="X327" s="49"/>
      <c r="Y327" s="49"/>
      <c r="Z327" s="49"/>
      <c r="AA327" s="49"/>
      <c r="AB327" s="49"/>
      <c r="AC327" s="49"/>
      <c r="AD327" s="49"/>
      <c r="AE327" s="49"/>
      <c r="AF327" s="49"/>
      <c r="AG327" s="49"/>
      <c r="AH327" s="49"/>
      <c r="AI327" s="49"/>
      <c r="AJ327" s="49"/>
      <c r="AK327" s="49"/>
      <c r="AL327" s="40">
        <f t="shared" si="30"/>
        <v>0</v>
      </c>
      <c r="AM327" s="37">
        <f t="shared" si="31"/>
        <v>0</v>
      </c>
      <c r="AN327" s="37">
        <f t="shared" si="32"/>
        <v>0</v>
      </c>
      <c r="AO327" s="38" t="e">
        <f t="shared" si="33"/>
        <v>#DIV/0!</v>
      </c>
      <c r="AP327" s="38" t="e">
        <f t="shared" si="34"/>
        <v>#DIV/0!</v>
      </c>
      <c r="AQ327" s="39" t="e">
        <f t="shared" si="35"/>
        <v>#DIV/0!</v>
      </c>
    </row>
    <row r="328" spans="1:43" ht="20.100000000000001" customHeight="1" x14ac:dyDescent="0.25">
      <c r="A328" s="8">
        <v>326</v>
      </c>
      <c r="B328" s="48"/>
      <c r="C328" s="48"/>
      <c r="D328" s="48"/>
      <c r="E328" s="49"/>
      <c r="F328" s="49"/>
      <c r="G328" s="49"/>
      <c r="H328" s="49"/>
      <c r="I328" s="49"/>
      <c r="J328" s="49"/>
      <c r="K328" s="49"/>
      <c r="L328" s="49"/>
      <c r="M328" s="49"/>
      <c r="N328" s="49"/>
      <c r="O328" s="49"/>
      <c r="P328" s="49"/>
      <c r="Q328" s="49"/>
      <c r="R328" s="49"/>
      <c r="S328" s="49"/>
      <c r="T328" s="49"/>
      <c r="U328" s="49"/>
      <c r="V328" s="49"/>
      <c r="W328" s="49"/>
      <c r="X328" s="49"/>
      <c r="Y328" s="49"/>
      <c r="Z328" s="49"/>
      <c r="AA328" s="49"/>
      <c r="AB328" s="49"/>
      <c r="AC328" s="49"/>
      <c r="AD328" s="49"/>
      <c r="AE328" s="49"/>
      <c r="AF328" s="49"/>
      <c r="AG328" s="49"/>
      <c r="AH328" s="49"/>
      <c r="AI328" s="49"/>
      <c r="AJ328" s="49"/>
      <c r="AK328" s="49"/>
      <c r="AL328" s="40">
        <f t="shared" si="30"/>
        <v>0</v>
      </c>
      <c r="AM328" s="37">
        <f t="shared" si="31"/>
        <v>0</v>
      </c>
      <c r="AN328" s="37">
        <f t="shared" si="32"/>
        <v>0</v>
      </c>
      <c r="AO328" s="38" t="e">
        <f t="shared" si="33"/>
        <v>#DIV/0!</v>
      </c>
      <c r="AP328" s="38" t="e">
        <f t="shared" si="34"/>
        <v>#DIV/0!</v>
      </c>
      <c r="AQ328" s="39" t="e">
        <f t="shared" si="35"/>
        <v>#DIV/0!</v>
      </c>
    </row>
    <row r="329" spans="1:43" ht="20.100000000000001" customHeight="1" x14ac:dyDescent="0.25">
      <c r="A329" s="8">
        <v>327</v>
      </c>
      <c r="B329" s="48"/>
      <c r="C329" s="48"/>
      <c r="D329" s="48"/>
      <c r="E329" s="49"/>
      <c r="F329" s="49"/>
      <c r="G329" s="49"/>
      <c r="H329" s="49"/>
      <c r="I329" s="49"/>
      <c r="J329" s="49"/>
      <c r="K329" s="49"/>
      <c r="L329" s="49"/>
      <c r="M329" s="49"/>
      <c r="N329" s="49"/>
      <c r="O329" s="49"/>
      <c r="P329" s="49"/>
      <c r="Q329" s="49"/>
      <c r="R329" s="49"/>
      <c r="S329" s="49"/>
      <c r="T329" s="49"/>
      <c r="U329" s="49"/>
      <c r="V329" s="49"/>
      <c r="W329" s="49"/>
      <c r="X329" s="49"/>
      <c r="Y329" s="49"/>
      <c r="Z329" s="49"/>
      <c r="AA329" s="49"/>
      <c r="AB329" s="49"/>
      <c r="AC329" s="49"/>
      <c r="AD329" s="49"/>
      <c r="AE329" s="49"/>
      <c r="AF329" s="49"/>
      <c r="AG329" s="49"/>
      <c r="AH329" s="49"/>
      <c r="AI329" s="49"/>
      <c r="AJ329" s="49"/>
      <c r="AK329" s="49"/>
      <c r="AL329" s="40">
        <f t="shared" si="30"/>
        <v>0</v>
      </c>
      <c r="AM329" s="37">
        <f t="shared" si="31"/>
        <v>0</v>
      </c>
      <c r="AN329" s="37">
        <f t="shared" si="32"/>
        <v>0</v>
      </c>
      <c r="AO329" s="38" t="e">
        <f t="shared" si="33"/>
        <v>#DIV/0!</v>
      </c>
      <c r="AP329" s="38" t="e">
        <f t="shared" si="34"/>
        <v>#DIV/0!</v>
      </c>
      <c r="AQ329" s="39" t="e">
        <f t="shared" si="35"/>
        <v>#DIV/0!</v>
      </c>
    </row>
    <row r="330" spans="1:43" ht="20.100000000000001" customHeight="1" x14ac:dyDescent="0.25">
      <c r="A330" s="8">
        <v>328</v>
      </c>
      <c r="B330" s="48"/>
      <c r="C330" s="48"/>
      <c r="D330" s="48"/>
      <c r="E330" s="49"/>
      <c r="F330" s="49"/>
      <c r="G330" s="49"/>
      <c r="H330" s="49"/>
      <c r="I330" s="49"/>
      <c r="J330" s="49"/>
      <c r="K330" s="49"/>
      <c r="L330" s="49"/>
      <c r="M330" s="49"/>
      <c r="N330" s="49"/>
      <c r="O330" s="49"/>
      <c r="P330" s="49"/>
      <c r="Q330" s="49"/>
      <c r="R330" s="49"/>
      <c r="S330" s="49"/>
      <c r="T330" s="49"/>
      <c r="U330" s="49"/>
      <c r="V330" s="49"/>
      <c r="W330" s="49"/>
      <c r="X330" s="49"/>
      <c r="Y330" s="49"/>
      <c r="Z330" s="49"/>
      <c r="AA330" s="49"/>
      <c r="AB330" s="49"/>
      <c r="AC330" s="49"/>
      <c r="AD330" s="49"/>
      <c r="AE330" s="49"/>
      <c r="AF330" s="49"/>
      <c r="AG330" s="49"/>
      <c r="AH330" s="49"/>
      <c r="AI330" s="49"/>
      <c r="AJ330" s="49"/>
      <c r="AK330" s="49"/>
      <c r="AL330" s="40">
        <f t="shared" si="30"/>
        <v>0</v>
      </c>
      <c r="AM330" s="37">
        <f t="shared" si="31"/>
        <v>0</v>
      </c>
      <c r="AN330" s="37">
        <f t="shared" si="32"/>
        <v>0</v>
      </c>
      <c r="AO330" s="38" t="e">
        <f t="shared" si="33"/>
        <v>#DIV/0!</v>
      </c>
      <c r="AP330" s="38" t="e">
        <f t="shared" si="34"/>
        <v>#DIV/0!</v>
      </c>
      <c r="AQ330" s="39" t="e">
        <f t="shared" si="35"/>
        <v>#DIV/0!</v>
      </c>
    </row>
    <row r="331" spans="1:43" ht="20.100000000000001" customHeight="1" x14ac:dyDescent="0.25">
      <c r="A331" s="8">
        <v>329</v>
      </c>
      <c r="B331" s="48"/>
      <c r="C331" s="48"/>
      <c r="D331" s="48"/>
      <c r="E331" s="49"/>
      <c r="F331" s="49"/>
      <c r="G331" s="49"/>
      <c r="H331" s="49"/>
      <c r="I331" s="49"/>
      <c r="J331" s="49"/>
      <c r="K331" s="49"/>
      <c r="L331" s="49"/>
      <c r="M331" s="49"/>
      <c r="N331" s="49"/>
      <c r="O331" s="49"/>
      <c r="P331" s="49"/>
      <c r="Q331" s="49"/>
      <c r="R331" s="49"/>
      <c r="S331" s="49"/>
      <c r="T331" s="49"/>
      <c r="U331" s="49"/>
      <c r="V331" s="49"/>
      <c r="W331" s="49"/>
      <c r="X331" s="49"/>
      <c r="Y331" s="49"/>
      <c r="Z331" s="49"/>
      <c r="AA331" s="49"/>
      <c r="AB331" s="49"/>
      <c r="AC331" s="49"/>
      <c r="AD331" s="49"/>
      <c r="AE331" s="49"/>
      <c r="AF331" s="49"/>
      <c r="AG331" s="49"/>
      <c r="AH331" s="49"/>
      <c r="AI331" s="49"/>
      <c r="AJ331" s="49"/>
      <c r="AK331" s="49"/>
      <c r="AL331" s="40">
        <f t="shared" si="30"/>
        <v>0</v>
      </c>
      <c r="AM331" s="37">
        <f t="shared" si="31"/>
        <v>0</v>
      </c>
      <c r="AN331" s="37">
        <f t="shared" si="32"/>
        <v>0</v>
      </c>
      <c r="AO331" s="38" t="e">
        <f t="shared" si="33"/>
        <v>#DIV/0!</v>
      </c>
      <c r="AP331" s="38" t="e">
        <f t="shared" si="34"/>
        <v>#DIV/0!</v>
      </c>
      <c r="AQ331" s="39" t="e">
        <f t="shared" si="35"/>
        <v>#DIV/0!</v>
      </c>
    </row>
    <row r="332" spans="1:43" ht="20.100000000000001" customHeight="1" x14ac:dyDescent="0.25">
      <c r="A332" s="8">
        <v>330</v>
      </c>
      <c r="B332" s="48"/>
      <c r="C332" s="48"/>
      <c r="D332" s="48"/>
      <c r="E332" s="49"/>
      <c r="F332" s="49"/>
      <c r="G332" s="49"/>
      <c r="H332" s="49"/>
      <c r="I332" s="49"/>
      <c r="J332" s="49"/>
      <c r="K332" s="49"/>
      <c r="L332" s="49"/>
      <c r="M332" s="49"/>
      <c r="N332" s="49"/>
      <c r="O332" s="49"/>
      <c r="P332" s="49"/>
      <c r="Q332" s="49"/>
      <c r="R332" s="49"/>
      <c r="S332" s="49"/>
      <c r="T332" s="49"/>
      <c r="U332" s="49"/>
      <c r="V332" s="49"/>
      <c r="W332" s="49"/>
      <c r="X332" s="49"/>
      <c r="Y332" s="49"/>
      <c r="Z332" s="49"/>
      <c r="AA332" s="49"/>
      <c r="AB332" s="49"/>
      <c r="AC332" s="49"/>
      <c r="AD332" s="49"/>
      <c r="AE332" s="49"/>
      <c r="AF332" s="49"/>
      <c r="AG332" s="49"/>
      <c r="AH332" s="49"/>
      <c r="AI332" s="49"/>
      <c r="AJ332" s="49"/>
      <c r="AK332" s="49"/>
      <c r="AL332" s="40">
        <f t="shared" si="30"/>
        <v>0</v>
      </c>
      <c r="AM332" s="37">
        <f t="shared" si="31"/>
        <v>0</v>
      </c>
      <c r="AN332" s="37">
        <f t="shared" si="32"/>
        <v>0</v>
      </c>
      <c r="AO332" s="38" t="e">
        <f t="shared" si="33"/>
        <v>#DIV/0!</v>
      </c>
      <c r="AP332" s="38" t="e">
        <f t="shared" si="34"/>
        <v>#DIV/0!</v>
      </c>
      <c r="AQ332" s="39" t="e">
        <f t="shared" si="35"/>
        <v>#DIV/0!</v>
      </c>
    </row>
    <row r="333" spans="1:43" ht="20.100000000000001" customHeight="1" x14ac:dyDescent="0.25">
      <c r="A333" s="8">
        <v>331</v>
      </c>
      <c r="B333" s="48"/>
      <c r="C333" s="48"/>
      <c r="D333" s="48"/>
      <c r="E333" s="49"/>
      <c r="F333" s="49"/>
      <c r="G333" s="49"/>
      <c r="H333" s="49"/>
      <c r="I333" s="49"/>
      <c r="J333" s="49"/>
      <c r="K333" s="49"/>
      <c r="L333" s="49"/>
      <c r="M333" s="49"/>
      <c r="N333" s="49"/>
      <c r="O333" s="49"/>
      <c r="P333" s="49"/>
      <c r="Q333" s="49"/>
      <c r="R333" s="49"/>
      <c r="S333" s="49"/>
      <c r="T333" s="49"/>
      <c r="U333" s="49"/>
      <c r="V333" s="49"/>
      <c r="W333" s="49"/>
      <c r="X333" s="49"/>
      <c r="Y333" s="49"/>
      <c r="Z333" s="49"/>
      <c r="AA333" s="49"/>
      <c r="AB333" s="49"/>
      <c r="AC333" s="49"/>
      <c r="AD333" s="49"/>
      <c r="AE333" s="49"/>
      <c r="AF333" s="49"/>
      <c r="AG333" s="49"/>
      <c r="AH333" s="49"/>
      <c r="AI333" s="49"/>
      <c r="AJ333" s="49"/>
      <c r="AK333" s="49"/>
      <c r="AL333" s="40">
        <f t="shared" si="30"/>
        <v>0</v>
      </c>
      <c r="AM333" s="37">
        <f t="shared" si="31"/>
        <v>0</v>
      </c>
      <c r="AN333" s="37">
        <f t="shared" si="32"/>
        <v>0</v>
      </c>
      <c r="AO333" s="38" t="e">
        <f t="shared" si="33"/>
        <v>#DIV/0!</v>
      </c>
      <c r="AP333" s="38" t="e">
        <f t="shared" si="34"/>
        <v>#DIV/0!</v>
      </c>
      <c r="AQ333" s="39" t="e">
        <f t="shared" si="35"/>
        <v>#DIV/0!</v>
      </c>
    </row>
    <row r="334" spans="1:43" ht="20.100000000000001" customHeight="1" x14ac:dyDescent="0.25">
      <c r="A334" s="8">
        <v>332</v>
      </c>
      <c r="B334" s="48"/>
      <c r="C334" s="48"/>
      <c r="D334" s="48"/>
      <c r="E334" s="49"/>
      <c r="F334" s="49"/>
      <c r="G334" s="49"/>
      <c r="H334" s="49"/>
      <c r="I334" s="49"/>
      <c r="J334" s="49"/>
      <c r="K334" s="49"/>
      <c r="L334" s="49"/>
      <c r="M334" s="49"/>
      <c r="N334" s="49"/>
      <c r="O334" s="49"/>
      <c r="P334" s="49"/>
      <c r="Q334" s="49"/>
      <c r="R334" s="49"/>
      <c r="S334" s="49"/>
      <c r="T334" s="49"/>
      <c r="U334" s="49"/>
      <c r="V334" s="49"/>
      <c r="W334" s="49"/>
      <c r="X334" s="49"/>
      <c r="Y334" s="49"/>
      <c r="Z334" s="49"/>
      <c r="AA334" s="49"/>
      <c r="AB334" s="49"/>
      <c r="AC334" s="49"/>
      <c r="AD334" s="49"/>
      <c r="AE334" s="49"/>
      <c r="AF334" s="49"/>
      <c r="AG334" s="49"/>
      <c r="AH334" s="49"/>
      <c r="AI334" s="49"/>
      <c r="AJ334" s="49"/>
      <c r="AK334" s="49"/>
      <c r="AL334" s="40">
        <f t="shared" si="30"/>
        <v>0</v>
      </c>
      <c r="AM334" s="37">
        <f t="shared" si="31"/>
        <v>0</v>
      </c>
      <c r="AN334" s="37">
        <f t="shared" si="32"/>
        <v>0</v>
      </c>
      <c r="AO334" s="38" t="e">
        <f t="shared" si="33"/>
        <v>#DIV/0!</v>
      </c>
      <c r="AP334" s="38" t="e">
        <f t="shared" si="34"/>
        <v>#DIV/0!</v>
      </c>
      <c r="AQ334" s="39" t="e">
        <f t="shared" si="35"/>
        <v>#DIV/0!</v>
      </c>
    </row>
    <row r="335" spans="1:43" ht="20.100000000000001" customHeight="1" x14ac:dyDescent="0.25">
      <c r="A335" s="8">
        <v>333</v>
      </c>
      <c r="B335" s="48"/>
      <c r="C335" s="48"/>
      <c r="D335" s="48"/>
      <c r="E335" s="49"/>
      <c r="F335" s="49"/>
      <c r="G335" s="49"/>
      <c r="H335" s="49"/>
      <c r="I335" s="49"/>
      <c r="J335" s="49"/>
      <c r="K335" s="49"/>
      <c r="L335" s="49"/>
      <c r="M335" s="49"/>
      <c r="N335" s="49"/>
      <c r="O335" s="49"/>
      <c r="P335" s="49"/>
      <c r="Q335" s="49"/>
      <c r="R335" s="49"/>
      <c r="S335" s="49"/>
      <c r="T335" s="49"/>
      <c r="U335" s="49"/>
      <c r="V335" s="49"/>
      <c r="W335" s="49"/>
      <c r="X335" s="49"/>
      <c r="Y335" s="49"/>
      <c r="Z335" s="49"/>
      <c r="AA335" s="49"/>
      <c r="AB335" s="49"/>
      <c r="AC335" s="49"/>
      <c r="AD335" s="49"/>
      <c r="AE335" s="49"/>
      <c r="AF335" s="49"/>
      <c r="AG335" s="49"/>
      <c r="AH335" s="49"/>
      <c r="AI335" s="49"/>
      <c r="AJ335" s="49"/>
      <c r="AK335" s="49"/>
      <c r="AL335" s="40">
        <f t="shared" si="30"/>
        <v>0</v>
      </c>
      <c r="AM335" s="37">
        <f t="shared" si="31"/>
        <v>0</v>
      </c>
      <c r="AN335" s="37">
        <f t="shared" si="32"/>
        <v>0</v>
      </c>
      <c r="AO335" s="38" t="e">
        <f t="shared" si="33"/>
        <v>#DIV/0!</v>
      </c>
      <c r="AP335" s="38" t="e">
        <f t="shared" si="34"/>
        <v>#DIV/0!</v>
      </c>
      <c r="AQ335" s="39" t="e">
        <f t="shared" si="35"/>
        <v>#DIV/0!</v>
      </c>
    </row>
    <row r="336" spans="1:43" ht="20.100000000000001" customHeight="1" x14ac:dyDescent="0.25">
      <c r="A336" s="8">
        <v>334</v>
      </c>
      <c r="B336" s="48"/>
      <c r="C336" s="48"/>
      <c r="D336" s="48"/>
      <c r="E336" s="49"/>
      <c r="F336" s="49"/>
      <c r="G336" s="49"/>
      <c r="H336" s="49"/>
      <c r="I336" s="49"/>
      <c r="J336" s="49"/>
      <c r="K336" s="49"/>
      <c r="L336" s="49"/>
      <c r="M336" s="49"/>
      <c r="N336" s="49"/>
      <c r="O336" s="49"/>
      <c r="P336" s="49"/>
      <c r="Q336" s="49"/>
      <c r="R336" s="49"/>
      <c r="S336" s="49"/>
      <c r="T336" s="49"/>
      <c r="U336" s="49"/>
      <c r="V336" s="49"/>
      <c r="W336" s="49"/>
      <c r="X336" s="49"/>
      <c r="Y336" s="49"/>
      <c r="Z336" s="49"/>
      <c r="AA336" s="49"/>
      <c r="AB336" s="49"/>
      <c r="AC336" s="49"/>
      <c r="AD336" s="49"/>
      <c r="AE336" s="49"/>
      <c r="AF336" s="49"/>
      <c r="AG336" s="49"/>
      <c r="AH336" s="49"/>
      <c r="AI336" s="49"/>
      <c r="AJ336" s="49"/>
      <c r="AK336" s="49"/>
      <c r="AL336" s="40">
        <f t="shared" si="30"/>
        <v>0</v>
      </c>
      <c r="AM336" s="37">
        <f t="shared" si="31"/>
        <v>0</v>
      </c>
      <c r="AN336" s="37">
        <f t="shared" si="32"/>
        <v>0</v>
      </c>
      <c r="AO336" s="38" t="e">
        <f t="shared" si="33"/>
        <v>#DIV/0!</v>
      </c>
      <c r="AP336" s="38" t="e">
        <f t="shared" si="34"/>
        <v>#DIV/0!</v>
      </c>
      <c r="AQ336" s="39" t="e">
        <f t="shared" si="35"/>
        <v>#DIV/0!</v>
      </c>
    </row>
    <row r="337" spans="1:43" ht="20.100000000000001" customHeight="1" x14ac:dyDescent="0.25">
      <c r="A337" s="8">
        <v>335</v>
      </c>
      <c r="B337" s="48"/>
      <c r="C337" s="48"/>
      <c r="D337" s="48"/>
      <c r="E337" s="49"/>
      <c r="F337" s="49"/>
      <c r="G337" s="49"/>
      <c r="H337" s="49"/>
      <c r="I337" s="49"/>
      <c r="J337" s="49"/>
      <c r="K337" s="49"/>
      <c r="L337" s="49"/>
      <c r="M337" s="49"/>
      <c r="N337" s="49"/>
      <c r="O337" s="49"/>
      <c r="P337" s="49"/>
      <c r="Q337" s="49"/>
      <c r="R337" s="49"/>
      <c r="S337" s="49"/>
      <c r="T337" s="49"/>
      <c r="U337" s="49"/>
      <c r="V337" s="49"/>
      <c r="W337" s="49"/>
      <c r="X337" s="49"/>
      <c r="Y337" s="49"/>
      <c r="Z337" s="49"/>
      <c r="AA337" s="49"/>
      <c r="AB337" s="49"/>
      <c r="AC337" s="49"/>
      <c r="AD337" s="49"/>
      <c r="AE337" s="49"/>
      <c r="AF337" s="49"/>
      <c r="AG337" s="49"/>
      <c r="AH337" s="49"/>
      <c r="AI337" s="49"/>
      <c r="AJ337" s="49"/>
      <c r="AK337" s="49"/>
      <c r="AL337" s="40">
        <f t="shared" si="30"/>
        <v>0</v>
      </c>
      <c r="AM337" s="37">
        <f t="shared" si="31"/>
        <v>0</v>
      </c>
      <c r="AN337" s="37">
        <f t="shared" si="32"/>
        <v>0</v>
      </c>
      <c r="AO337" s="38" t="e">
        <f t="shared" si="33"/>
        <v>#DIV/0!</v>
      </c>
      <c r="AP337" s="38" t="e">
        <f t="shared" si="34"/>
        <v>#DIV/0!</v>
      </c>
      <c r="AQ337" s="39" t="e">
        <f t="shared" si="35"/>
        <v>#DIV/0!</v>
      </c>
    </row>
    <row r="338" spans="1:43" ht="20.100000000000001" customHeight="1" x14ac:dyDescent="0.25">
      <c r="A338" s="8">
        <v>336</v>
      </c>
      <c r="B338" s="48"/>
      <c r="C338" s="48"/>
      <c r="D338" s="48"/>
      <c r="E338" s="49"/>
      <c r="F338" s="49"/>
      <c r="G338" s="49"/>
      <c r="H338" s="49"/>
      <c r="I338" s="49"/>
      <c r="J338" s="49"/>
      <c r="K338" s="49"/>
      <c r="L338" s="49"/>
      <c r="M338" s="49"/>
      <c r="N338" s="49"/>
      <c r="O338" s="49"/>
      <c r="P338" s="49"/>
      <c r="Q338" s="49"/>
      <c r="R338" s="49"/>
      <c r="S338" s="49"/>
      <c r="T338" s="49"/>
      <c r="U338" s="49"/>
      <c r="V338" s="49"/>
      <c r="W338" s="49"/>
      <c r="X338" s="49"/>
      <c r="Y338" s="49"/>
      <c r="Z338" s="49"/>
      <c r="AA338" s="49"/>
      <c r="AB338" s="49"/>
      <c r="AC338" s="49"/>
      <c r="AD338" s="49"/>
      <c r="AE338" s="49"/>
      <c r="AF338" s="49"/>
      <c r="AG338" s="49"/>
      <c r="AH338" s="49"/>
      <c r="AI338" s="49"/>
      <c r="AJ338" s="49"/>
      <c r="AK338" s="49"/>
      <c r="AL338" s="40">
        <f t="shared" si="30"/>
        <v>0</v>
      </c>
      <c r="AM338" s="37">
        <f t="shared" si="31"/>
        <v>0</v>
      </c>
      <c r="AN338" s="37">
        <f t="shared" si="32"/>
        <v>0</v>
      </c>
      <c r="AO338" s="38" t="e">
        <f t="shared" si="33"/>
        <v>#DIV/0!</v>
      </c>
      <c r="AP338" s="38" t="e">
        <f t="shared" si="34"/>
        <v>#DIV/0!</v>
      </c>
      <c r="AQ338" s="39" t="e">
        <f t="shared" si="35"/>
        <v>#DIV/0!</v>
      </c>
    </row>
    <row r="339" spans="1:43" ht="20.100000000000001" customHeight="1" x14ac:dyDescent="0.25">
      <c r="A339" s="8">
        <v>337</v>
      </c>
      <c r="B339" s="48"/>
      <c r="C339" s="48"/>
      <c r="D339" s="48"/>
      <c r="E339" s="49"/>
      <c r="F339" s="49"/>
      <c r="G339" s="49"/>
      <c r="H339" s="49"/>
      <c r="I339" s="49"/>
      <c r="J339" s="49"/>
      <c r="K339" s="49"/>
      <c r="L339" s="49"/>
      <c r="M339" s="49"/>
      <c r="N339" s="49"/>
      <c r="O339" s="49"/>
      <c r="P339" s="49"/>
      <c r="Q339" s="49"/>
      <c r="R339" s="49"/>
      <c r="S339" s="49"/>
      <c r="T339" s="49"/>
      <c r="U339" s="49"/>
      <c r="V339" s="49"/>
      <c r="W339" s="49"/>
      <c r="X339" s="49"/>
      <c r="Y339" s="49"/>
      <c r="Z339" s="49"/>
      <c r="AA339" s="49"/>
      <c r="AB339" s="49"/>
      <c r="AC339" s="49"/>
      <c r="AD339" s="49"/>
      <c r="AE339" s="49"/>
      <c r="AF339" s="49"/>
      <c r="AG339" s="49"/>
      <c r="AH339" s="49"/>
      <c r="AI339" s="49"/>
      <c r="AJ339" s="49"/>
      <c r="AK339" s="49"/>
      <c r="AL339" s="40">
        <f t="shared" si="30"/>
        <v>0</v>
      </c>
      <c r="AM339" s="37">
        <f t="shared" si="31"/>
        <v>0</v>
      </c>
      <c r="AN339" s="37">
        <f t="shared" si="32"/>
        <v>0</v>
      </c>
      <c r="AO339" s="38" t="e">
        <f t="shared" si="33"/>
        <v>#DIV/0!</v>
      </c>
      <c r="AP339" s="38" t="e">
        <f t="shared" si="34"/>
        <v>#DIV/0!</v>
      </c>
      <c r="AQ339" s="39" t="e">
        <f t="shared" si="35"/>
        <v>#DIV/0!</v>
      </c>
    </row>
    <row r="340" spans="1:43" ht="20.100000000000001" customHeight="1" x14ac:dyDescent="0.25">
      <c r="A340" s="8">
        <v>338</v>
      </c>
      <c r="B340" s="48"/>
      <c r="C340" s="48"/>
      <c r="D340" s="48"/>
      <c r="E340" s="49"/>
      <c r="F340" s="49"/>
      <c r="G340" s="49"/>
      <c r="H340" s="49"/>
      <c r="I340" s="49"/>
      <c r="J340" s="49"/>
      <c r="K340" s="49"/>
      <c r="L340" s="49"/>
      <c r="M340" s="49"/>
      <c r="N340" s="49"/>
      <c r="O340" s="49"/>
      <c r="P340" s="49"/>
      <c r="Q340" s="49"/>
      <c r="R340" s="49"/>
      <c r="S340" s="49"/>
      <c r="T340" s="49"/>
      <c r="U340" s="49"/>
      <c r="V340" s="49"/>
      <c r="W340" s="49"/>
      <c r="X340" s="49"/>
      <c r="Y340" s="49"/>
      <c r="Z340" s="49"/>
      <c r="AA340" s="49"/>
      <c r="AB340" s="49"/>
      <c r="AC340" s="49"/>
      <c r="AD340" s="49"/>
      <c r="AE340" s="49"/>
      <c r="AF340" s="49"/>
      <c r="AG340" s="49"/>
      <c r="AH340" s="49"/>
      <c r="AI340" s="49"/>
      <c r="AJ340" s="49"/>
      <c r="AK340" s="49"/>
      <c r="AL340" s="40">
        <f t="shared" si="30"/>
        <v>0</v>
      </c>
      <c r="AM340" s="37">
        <f t="shared" si="31"/>
        <v>0</v>
      </c>
      <c r="AN340" s="37">
        <f t="shared" si="32"/>
        <v>0</v>
      </c>
      <c r="AO340" s="38" t="e">
        <f t="shared" si="33"/>
        <v>#DIV/0!</v>
      </c>
      <c r="AP340" s="38" t="e">
        <f t="shared" si="34"/>
        <v>#DIV/0!</v>
      </c>
      <c r="AQ340" s="39" t="e">
        <f t="shared" si="35"/>
        <v>#DIV/0!</v>
      </c>
    </row>
    <row r="341" spans="1:43" ht="20.100000000000001" customHeight="1" x14ac:dyDescent="0.25">
      <c r="A341" s="8">
        <v>339</v>
      </c>
      <c r="B341" s="48"/>
      <c r="C341" s="48"/>
      <c r="D341" s="48"/>
      <c r="E341" s="49"/>
      <c r="F341" s="49"/>
      <c r="G341" s="49"/>
      <c r="H341" s="49"/>
      <c r="I341" s="49"/>
      <c r="J341" s="49"/>
      <c r="K341" s="49"/>
      <c r="L341" s="49"/>
      <c r="M341" s="49"/>
      <c r="N341" s="49"/>
      <c r="O341" s="49"/>
      <c r="P341" s="49"/>
      <c r="Q341" s="49"/>
      <c r="R341" s="49"/>
      <c r="S341" s="49"/>
      <c r="T341" s="49"/>
      <c r="U341" s="49"/>
      <c r="V341" s="49"/>
      <c r="W341" s="49"/>
      <c r="X341" s="49"/>
      <c r="Y341" s="49"/>
      <c r="Z341" s="49"/>
      <c r="AA341" s="49"/>
      <c r="AB341" s="49"/>
      <c r="AC341" s="49"/>
      <c r="AD341" s="49"/>
      <c r="AE341" s="49"/>
      <c r="AF341" s="49"/>
      <c r="AG341" s="49"/>
      <c r="AH341" s="49"/>
      <c r="AI341" s="49"/>
      <c r="AJ341" s="49"/>
      <c r="AK341" s="49"/>
      <c r="AL341" s="40">
        <f t="shared" si="30"/>
        <v>0</v>
      </c>
      <c r="AM341" s="37">
        <f t="shared" si="31"/>
        <v>0</v>
      </c>
      <c r="AN341" s="37">
        <f t="shared" si="32"/>
        <v>0</v>
      </c>
      <c r="AO341" s="38" t="e">
        <f t="shared" si="33"/>
        <v>#DIV/0!</v>
      </c>
      <c r="AP341" s="38" t="e">
        <f t="shared" si="34"/>
        <v>#DIV/0!</v>
      </c>
      <c r="AQ341" s="39" t="e">
        <f t="shared" si="35"/>
        <v>#DIV/0!</v>
      </c>
    </row>
    <row r="342" spans="1:43" ht="20.100000000000001" customHeight="1" x14ac:dyDescent="0.25">
      <c r="A342" s="8">
        <v>340</v>
      </c>
      <c r="B342" s="48"/>
      <c r="C342" s="48"/>
      <c r="D342" s="48"/>
      <c r="E342" s="49"/>
      <c r="F342" s="49"/>
      <c r="G342" s="49"/>
      <c r="H342" s="49"/>
      <c r="I342" s="49"/>
      <c r="J342" s="49"/>
      <c r="K342" s="49"/>
      <c r="L342" s="49"/>
      <c r="M342" s="49"/>
      <c r="N342" s="49"/>
      <c r="O342" s="49"/>
      <c r="P342" s="49"/>
      <c r="Q342" s="49"/>
      <c r="R342" s="49"/>
      <c r="S342" s="49"/>
      <c r="T342" s="49"/>
      <c r="U342" s="49"/>
      <c r="V342" s="49"/>
      <c r="W342" s="49"/>
      <c r="X342" s="49"/>
      <c r="Y342" s="49"/>
      <c r="Z342" s="49"/>
      <c r="AA342" s="49"/>
      <c r="AB342" s="49"/>
      <c r="AC342" s="49"/>
      <c r="AD342" s="49"/>
      <c r="AE342" s="49"/>
      <c r="AF342" s="49"/>
      <c r="AG342" s="49"/>
      <c r="AH342" s="49"/>
      <c r="AI342" s="49"/>
      <c r="AJ342" s="49"/>
      <c r="AK342" s="49"/>
      <c r="AL342" s="40">
        <f t="shared" si="30"/>
        <v>0</v>
      </c>
      <c r="AM342" s="37">
        <f t="shared" si="31"/>
        <v>0</v>
      </c>
      <c r="AN342" s="37">
        <f t="shared" si="32"/>
        <v>0</v>
      </c>
      <c r="AO342" s="38" t="e">
        <f t="shared" si="33"/>
        <v>#DIV/0!</v>
      </c>
      <c r="AP342" s="38" t="e">
        <f t="shared" si="34"/>
        <v>#DIV/0!</v>
      </c>
      <c r="AQ342" s="39" t="e">
        <f t="shared" si="35"/>
        <v>#DIV/0!</v>
      </c>
    </row>
    <row r="343" spans="1:43" ht="20.100000000000001" customHeight="1" x14ac:dyDescent="0.25">
      <c r="A343" s="8">
        <v>341</v>
      </c>
      <c r="B343" s="48"/>
      <c r="C343" s="48"/>
      <c r="D343" s="48"/>
      <c r="E343" s="49"/>
      <c r="F343" s="49"/>
      <c r="G343" s="49"/>
      <c r="H343" s="49"/>
      <c r="I343" s="49"/>
      <c r="J343" s="49"/>
      <c r="K343" s="49"/>
      <c r="L343" s="49"/>
      <c r="M343" s="49"/>
      <c r="N343" s="49"/>
      <c r="O343" s="49"/>
      <c r="P343" s="49"/>
      <c r="Q343" s="49"/>
      <c r="R343" s="49"/>
      <c r="S343" s="49"/>
      <c r="T343" s="49"/>
      <c r="U343" s="49"/>
      <c r="V343" s="49"/>
      <c r="W343" s="49"/>
      <c r="X343" s="49"/>
      <c r="Y343" s="49"/>
      <c r="Z343" s="49"/>
      <c r="AA343" s="49"/>
      <c r="AB343" s="49"/>
      <c r="AC343" s="49"/>
      <c r="AD343" s="49"/>
      <c r="AE343" s="49"/>
      <c r="AF343" s="49"/>
      <c r="AG343" s="49"/>
      <c r="AH343" s="49"/>
      <c r="AI343" s="49"/>
      <c r="AJ343" s="49"/>
      <c r="AK343" s="49"/>
      <c r="AL343" s="40">
        <f t="shared" si="30"/>
        <v>0</v>
      </c>
      <c r="AM343" s="37">
        <f t="shared" si="31"/>
        <v>0</v>
      </c>
      <c r="AN343" s="37">
        <f t="shared" si="32"/>
        <v>0</v>
      </c>
      <c r="AO343" s="38" t="e">
        <f t="shared" si="33"/>
        <v>#DIV/0!</v>
      </c>
      <c r="AP343" s="38" t="e">
        <f t="shared" si="34"/>
        <v>#DIV/0!</v>
      </c>
      <c r="AQ343" s="39" t="e">
        <f t="shared" si="35"/>
        <v>#DIV/0!</v>
      </c>
    </row>
    <row r="344" spans="1:43" ht="20.100000000000001" customHeight="1" x14ac:dyDescent="0.25">
      <c r="A344" s="8">
        <v>342</v>
      </c>
      <c r="B344" s="48"/>
      <c r="C344" s="48"/>
      <c r="D344" s="48"/>
      <c r="E344" s="49"/>
      <c r="F344" s="49"/>
      <c r="G344" s="49"/>
      <c r="H344" s="49"/>
      <c r="I344" s="49"/>
      <c r="J344" s="49"/>
      <c r="K344" s="49"/>
      <c r="L344" s="49"/>
      <c r="M344" s="49"/>
      <c r="N344" s="49"/>
      <c r="O344" s="49"/>
      <c r="P344" s="49"/>
      <c r="Q344" s="49"/>
      <c r="R344" s="49"/>
      <c r="S344" s="49"/>
      <c r="T344" s="49"/>
      <c r="U344" s="49"/>
      <c r="V344" s="49"/>
      <c r="W344" s="49"/>
      <c r="X344" s="49"/>
      <c r="Y344" s="49"/>
      <c r="Z344" s="49"/>
      <c r="AA344" s="49"/>
      <c r="AB344" s="49"/>
      <c r="AC344" s="49"/>
      <c r="AD344" s="49"/>
      <c r="AE344" s="49"/>
      <c r="AF344" s="49"/>
      <c r="AG344" s="49"/>
      <c r="AH344" s="49"/>
      <c r="AI344" s="49"/>
      <c r="AJ344" s="49"/>
      <c r="AK344" s="49"/>
      <c r="AL344" s="40">
        <f t="shared" si="30"/>
        <v>0</v>
      </c>
      <c r="AM344" s="37">
        <f t="shared" si="31"/>
        <v>0</v>
      </c>
      <c r="AN344" s="37">
        <f t="shared" si="32"/>
        <v>0</v>
      </c>
      <c r="AO344" s="38" t="e">
        <f t="shared" si="33"/>
        <v>#DIV/0!</v>
      </c>
      <c r="AP344" s="38" t="e">
        <f t="shared" si="34"/>
        <v>#DIV/0!</v>
      </c>
      <c r="AQ344" s="39" t="e">
        <f t="shared" si="35"/>
        <v>#DIV/0!</v>
      </c>
    </row>
    <row r="345" spans="1:43" ht="20.100000000000001" customHeight="1" x14ac:dyDescent="0.25">
      <c r="A345" s="8">
        <v>343</v>
      </c>
      <c r="B345" s="48"/>
      <c r="C345" s="48"/>
      <c r="D345" s="48"/>
      <c r="E345" s="49"/>
      <c r="F345" s="49"/>
      <c r="G345" s="49"/>
      <c r="H345" s="49"/>
      <c r="I345" s="49"/>
      <c r="J345" s="49"/>
      <c r="K345" s="49"/>
      <c r="L345" s="49"/>
      <c r="M345" s="49"/>
      <c r="N345" s="49"/>
      <c r="O345" s="49"/>
      <c r="P345" s="49"/>
      <c r="Q345" s="49"/>
      <c r="R345" s="49"/>
      <c r="S345" s="49"/>
      <c r="T345" s="49"/>
      <c r="U345" s="49"/>
      <c r="V345" s="49"/>
      <c r="W345" s="49"/>
      <c r="X345" s="49"/>
      <c r="Y345" s="49"/>
      <c r="Z345" s="49"/>
      <c r="AA345" s="49"/>
      <c r="AB345" s="49"/>
      <c r="AC345" s="49"/>
      <c r="AD345" s="49"/>
      <c r="AE345" s="49"/>
      <c r="AF345" s="49"/>
      <c r="AG345" s="49"/>
      <c r="AH345" s="49"/>
      <c r="AI345" s="49"/>
      <c r="AJ345" s="49"/>
      <c r="AK345" s="49"/>
      <c r="AL345" s="40">
        <f t="shared" si="30"/>
        <v>0</v>
      </c>
      <c r="AM345" s="37">
        <f t="shared" si="31"/>
        <v>0</v>
      </c>
      <c r="AN345" s="37">
        <f t="shared" si="32"/>
        <v>0</v>
      </c>
      <c r="AO345" s="38" t="e">
        <f t="shared" si="33"/>
        <v>#DIV/0!</v>
      </c>
      <c r="AP345" s="38" t="e">
        <f t="shared" si="34"/>
        <v>#DIV/0!</v>
      </c>
      <c r="AQ345" s="39" t="e">
        <f t="shared" si="35"/>
        <v>#DIV/0!</v>
      </c>
    </row>
    <row r="346" spans="1:43" ht="20.100000000000001" customHeight="1" x14ac:dyDescent="0.25">
      <c r="A346" s="8">
        <v>344</v>
      </c>
      <c r="B346" s="48"/>
      <c r="C346" s="48"/>
      <c r="D346" s="48"/>
      <c r="E346" s="49"/>
      <c r="F346" s="49"/>
      <c r="G346" s="49"/>
      <c r="H346" s="49"/>
      <c r="I346" s="49"/>
      <c r="J346" s="49"/>
      <c r="K346" s="49"/>
      <c r="L346" s="49"/>
      <c r="M346" s="49"/>
      <c r="N346" s="49"/>
      <c r="O346" s="49"/>
      <c r="P346" s="49"/>
      <c r="Q346" s="49"/>
      <c r="R346" s="49"/>
      <c r="S346" s="49"/>
      <c r="T346" s="49"/>
      <c r="U346" s="49"/>
      <c r="V346" s="49"/>
      <c r="W346" s="49"/>
      <c r="X346" s="49"/>
      <c r="Y346" s="49"/>
      <c r="Z346" s="49"/>
      <c r="AA346" s="49"/>
      <c r="AB346" s="49"/>
      <c r="AC346" s="49"/>
      <c r="AD346" s="49"/>
      <c r="AE346" s="49"/>
      <c r="AF346" s="49"/>
      <c r="AG346" s="49"/>
      <c r="AH346" s="49"/>
      <c r="AI346" s="49"/>
      <c r="AJ346" s="49"/>
      <c r="AK346" s="49"/>
      <c r="AL346" s="40">
        <f t="shared" si="30"/>
        <v>0</v>
      </c>
      <c r="AM346" s="37">
        <f t="shared" si="31"/>
        <v>0</v>
      </c>
      <c r="AN346" s="37">
        <f t="shared" si="32"/>
        <v>0</v>
      </c>
      <c r="AO346" s="38" t="e">
        <f t="shared" si="33"/>
        <v>#DIV/0!</v>
      </c>
      <c r="AP346" s="38" t="e">
        <f t="shared" si="34"/>
        <v>#DIV/0!</v>
      </c>
      <c r="AQ346" s="39" t="e">
        <f t="shared" si="35"/>
        <v>#DIV/0!</v>
      </c>
    </row>
    <row r="347" spans="1:43" ht="20.100000000000001" customHeight="1" x14ac:dyDescent="0.25">
      <c r="A347" s="8">
        <v>345</v>
      </c>
      <c r="B347" s="48"/>
      <c r="C347" s="48"/>
      <c r="D347" s="48"/>
      <c r="E347" s="49"/>
      <c r="F347" s="49"/>
      <c r="G347" s="49"/>
      <c r="H347" s="49"/>
      <c r="I347" s="49"/>
      <c r="J347" s="49"/>
      <c r="K347" s="49"/>
      <c r="L347" s="49"/>
      <c r="M347" s="49"/>
      <c r="N347" s="49"/>
      <c r="O347" s="49"/>
      <c r="P347" s="49"/>
      <c r="Q347" s="49"/>
      <c r="R347" s="49"/>
      <c r="S347" s="49"/>
      <c r="T347" s="49"/>
      <c r="U347" s="49"/>
      <c r="V347" s="49"/>
      <c r="W347" s="49"/>
      <c r="X347" s="49"/>
      <c r="Y347" s="49"/>
      <c r="Z347" s="49"/>
      <c r="AA347" s="49"/>
      <c r="AB347" s="49"/>
      <c r="AC347" s="49"/>
      <c r="AD347" s="49"/>
      <c r="AE347" s="49"/>
      <c r="AF347" s="49"/>
      <c r="AG347" s="49"/>
      <c r="AH347" s="49"/>
      <c r="AI347" s="49"/>
      <c r="AJ347" s="49"/>
      <c r="AK347" s="49"/>
      <c r="AL347" s="40">
        <f t="shared" si="30"/>
        <v>0</v>
      </c>
      <c r="AM347" s="37">
        <f t="shared" si="31"/>
        <v>0</v>
      </c>
      <c r="AN347" s="37">
        <f t="shared" si="32"/>
        <v>0</v>
      </c>
      <c r="AO347" s="38" t="e">
        <f t="shared" si="33"/>
        <v>#DIV/0!</v>
      </c>
      <c r="AP347" s="38" t="e">
        <f t="shared" si="34"/>
        <v>#DIV/0!</v>
      </c>
      <c r="AQ347" s="39" t="e">
        <f t="shared" si="35"/>
        <v>#DIV/0!</v>
      </c>
    </row>
    <row r="348" spans="1:43" ht="20.100000000000001" customHeight="1" x14ac:dyDescent="0.25">
      <c r="A348" s="8">
        <v>346</v>
      </c>
      <c r="B348" s="48"/>
      <c r="C348" s="48"/>
      <c r="D348" s="48"/>
      <c r="E348" s="49"/>
      <c r="F348" s="49"/>
      <c r="G348" s="49"/>
      <c r="H348" s="49"/>
      <c r="I348" s="49"/>
      <c r="J348" s="49"/>
      <c r="K348" s="49"/>
      <c r="L348" s="49"/>
      <c r="M348" s="49"/>
      <c r="N348" s="49"/>
      <c r="O348" s="49"/>
      <c r="P348" s="49"/>
      <c r="Q348" s="49"/>
      <c r="R348" s="49"/>
      <c r="S348" s="49"/>
      <c r="T348" s="49"/>
      <c r="U348" s="49"/>
      <c r="V348" s="49"/>
      <c r="W348" s="49"/>
      <c r="X348" s="49"/>
      <c r="Y348" s="49"/>
      <c r="Z348" s="49"/>
      <c r="AA348" s="49"/>
      <c r="AB348" s="49"/>
      <c r="AC348" s="49"/>
      <c r="AD348" s="49"/>
      <c r="AE348" s="49"/>
      <c r="AF348" s="49"/>
      <c r="AG348" s="49"/>
      <c r="AH348" s="49"/>
      <c r="AI348" s="49"/>
      <c r="AJ348" s="49"/>
      <c r="AK348" s="49"/>
      <c r="AL348" s="40">
        <f t="shared" si="30"/>
        <v>0</v>
      </c>
      <c r="AM348" s="37">
        <f t="shared" si="31"/>
        <v>0</v>
      </c>
      <c r="AN348" s="37">
        <f t="shared" si="32"/>
        <v>0</v>
      </c>
      <c r="AO348" s="38" t="e">
        <f t="shared" si="33"/>
        <v>#DIV/0!</v>
      </c>
      <c r="AP348" s="38" t="e">
        <f t="shared" si="34"/>
        <v>#DIV/0!</v>
      </c>
      <c r="AQ348" s="39" t="e">
        <f t="shared" si="35"/>
        <v>#DIV/0!</v>
      </c>
    </row>
    <row r="349" spans="1:43" ht="20.100000000000001" customHeight="1" x14ac:dyDescent="0.25">
      <c r="A349" s="8">
        <v>347</v>
      </c>
      <c r="B349" s="48"/>
      <c r="C349" s="48"/>
      <c r="D349" s="48"/>
      <c r="E349" s="49"/>
      <c r="F349" s="49"/>
      <c r="G349" s="49"/>
      <c r="H349" s="49"/>
      <c r="I349" s="49"/>
      <c r="J349" s="49"/>
      <c r="K349" s="49"/>
      <c r="L349" s="49"/>
      <c r="M349" s="49"/>
      <c r="N349" s="49"/>
      <c r="O349" s="49"/>
      <c r="P349" s="49"/>
      <c r="Q349" s="49"/>
      <c r="R349" s="49"/>
      <c r="S349" s="49"/>
      <c r="T349" s="49"/>
      <c r="U349" s="49"/>
      <c r="V349" s="49"/>
      <c r="W349" s="49"/>
      <c r="X349" s="49"/>
      <c r="Y349" s="49"/>
      <c r="Z349" s="49"/>
      <c r="AA349" s="49"/>
      <c r="AB349" s="49"/>
      <c r="AC349" s="49"/>
      <c r="AD349" s="49"/>
      <c r="AE349" s="49"/>
      <c r="AF349" s="49"/>
      <c r="AG349" s="49"/>
      <c r="AH349" s="49"/>
      <c r="AI349" s="49"/>
      <c r="AJ349" s="49"/>
      <c r="AK349" s="49"/>
      <c r="AL349" s="40">
        <f t="shared" si="30"/>
        <v>0</v>
      </c>
      <c r="AM349" s="37">
        <f t="shared" si="31"/>
        <v>0</v>
      </c>
      <c r="AN349" s="37">
        <f t="shared" si="32"/>
        <v>0</v>
      </c>
      <c r="AO349" s="38" t="e">
        <f t="shared" si="33"/>
        <v>#DIV/0!</v>
      </c>
      <c r="AP349" s="38" t="e">
        <f t="shared" si="34"/>
        <v>#DIV/0!</v>
      </c>
      <c r="AQ349" s="39" t="e">
        <f t="shared" si="35"/>
        <v>#DIV/0!</v>
      </c>
    </row>
    <row r="350" spans="1:43" ht="20.100000000000001" customHeight="1" x14ac:dyDescent="0.25">
      <c r="A350" s="8">
        <v>348</v>
      </c>
      <c r="B350" s="48"/>
      <c r="C350" s="48"/>
      <c r="D350" s="48"/>
      <c r="E350" s="49"/>
      <c r="F350" s="49"/>
      <c r="G350" s="49"/>
      <c r="H350" s="49"/>
      <c r="I350" s="49"/>
      <c r="J350" s="49"/>
      <c r="K350" s="49"/>
      <c r="L350" s="49"/>
      <c r="M350" s="49"/>
      <c r="N350" s="49"/>
      <c r="O350" s="49"/>
      <c r="P350" s="49"/>
      <c r="Q350" s="49"/>
      <c r="R350" s="49"/>
      <c r="S350" s="49"/>
      <c r="T350" s="49"/>
      <c r="U350" s="49"/>
      <c r="V350" s="49"/>
      <c r="W350" s="49"/>
      <c r="X350" s="49"/>
      <c r="Y350" s="49"/>
      <c r="Z350" s="49"/>
      <c r="AA350" s="49"/>
      <c r="AB350" s="49"/>
      <c r="AC350" s="49"/>
      <c r="AD350" s="49"/>
      <c r="AE350" s="49"/>
      <c r="AF350" s="49"/>
      <c r="AG350" s="49"/>
      <c r="AH350" s="49"/>
      <c r="AI350" s="49"/>
      <c r="AJ350" s="49"/>
      <c r="AK350" s="49"/>
      <c r="AL350" s="40">
        <f t="shared" si="30"/>
        <v>0</v>
      </c>
      <c r="AM350" s="37">
        <f t="shared" si="31"/>
        <v>0</v>
      </c>
      <c r="AN350" s="37">
        <f t="shared" si="32"/>
        <v>0</v>
      </c>
      <c r="AO350" s="38" t="e">
        <f t="shared" si="33"/>
        <v>#DIV/0!</v>
      </c>
      <c r="AP350" s="38" t="e">
        <f t="shared" si="34"/>
        <v>#DIV/0!</v>
      </c>
      <c r="AQ350" s="39" t="e">
        <f t="shared" si="35"/>
        <v>#DIV/0!</v>
      </c>
    </row>
    <row r="351" spans="1:43" ht="20.100000000000001" customHeight="1" x14ac:dyDescent="0.25">
      <c r="A351" s="8">
        <v>349</v>
      </c>
      <c r="B351" s="48"/>
      <c r="C351" s="48"/>
      <c r="D351" s="48"/>
      <c r="E351" s="49"/>
      <c r="F351" s="49"/>
      <c r="G351" s="49"/>
      <c r="H351" s="49"/>
      <c r="I351" s="49"/>
      <c r="J351" s="49"/>
      <c r="K351" s="49"/>
      <c r="L351" s="49"/>
      <c r="M351" s="49"/>
      <c r="N351" s="49"/>
      <c r="O351" s="49"/>
      <c r="P351" s="49"/>
      <c r="Q351" s="49"/>
      <c r="R351" s="49"/>
      <c r="S351" s="49"/>
      <c r="T351" s="49"/>
      <c r="U351" s="49"/>
      <c r="V351" s="49"/>
      <c r="W351" s="49"/>
      <c r="X351" s="49"/>
      <c r="Y351" s="49"/>
      <c r="Z351" s="49"/>
      <c r="AA351" s="49"/>
      <c r="AB351" s="49"/>
      <c r="AC351" s="49"/>
      <c r="AD351" s="49"/>
      <c r="AE351" s="49"/>
      <c r="AF351" s="49"/>
      <c r="AG351" s="49"/>
      <c r="AH351" s="49"/>
      <c r="AI351" s="49"/>
      <c r="AJ351" s="49"/>
      <c r="AK351" s="49"/>
      <c r="AL351" s="40">
        <f t="shared" si="30"/>
        <v>0</v>
      </c>
      <c r="AM351" s="37">
        <f t="shared" si="31"/>
        <v>0</v>
      </c>
      <c r="AN351" s="37">
        <f t="shared" si="32"/>
        <v>0</v>
      </c>
      <c r="AO351" s="38" t="e">
        <f t="shared" si="33"/>
        <v>#DIV/0!</v>
      </c>
      <c r="AP351" s="38" t="e">
        <f t="shared" si="34"/>
        <v>#DIV/0!</v>
      </c>
      <c r="AQ351" s="39" t="e">
        <f t="shared" si="35"/>
        <v>#DIV/0!</v>
      </c>
    </row>
    <row r="352" spans="1:43" ht="20.100000000000001" customHeight="1" x14ac:dyDescent="0.25">
      <c r="A352" s="8">
        <v>350</v>
      </c>
      <c r="B352" s="48"/>
      <c r="C352" s="48"/>
      <c r="D352" s="48"/>
      <c r="E352" s="49"/>
      <c r="F352" s="49"/>
      <c r="G352" s="49"/>
      <c r="H352" s="49"/>
      <c r="I352" s="49"/>
      <c r="J352" s="49"/>
      <c r="K352" s="49"/>
      <c r="L352" s="49"/>
      <c r="M352" s="49"/>
      <c r="N352" s="49"/>
      <c r="O352" s="49"/>
      <c r="P352" s="49"/>
      <c r="Q352" s="49"/>
      <c r="R352" s="49"/>
      <c r="S352" s="49"/>
      <c r="T352" s="49"/>
      <c r="U352" s="49"/>
      <c r="V352" s="49"/>
      <c r="W352" s="49"/>
      <c r="X352" s="49"/>
      <c r="Y352" s="49"/>
      <c r="Z352" s="49"/>
      <c r="AA352" s="49"/>
      <c r="AB352" s="49"/>
      <c r="AC352" s="49"/>
      <c r="AD352" s="49"/>
      <c r="AE352" s="49"/>
      <c r="AF352" s="49"/>
      <c r="AG352" s="49"/>
      <c r="AH352" s="49"/>
      <c r="AI352" s="49"/>
      <c r="AJ352" s="49"/>
      <c r="AK352" s="49"/>
      <c r="AL352" s="40">
        <f t="shared" si="30"/>
        <v>0</v>
      </c>
      <c r="AM352" s="37">
        <f t="shared" si="31"/>
        <v>0</v>
      </c>
      <c r="AN352" s="37">
        <f t="shared" si="32"/>
        <v>0</v>
      </c>
      <c r="AO352" s="38" t="e">
        <f t="shared" si="33"/>
        <v>#DIV/0!</v>
      </c>
      <c r="AP352" s="38" t="e">
        <f t="shared" si="34"/>
        <v>#DIV/0!</v>
      </c>
      <c r="AQ352" s="39" t="e">
        <f t="shared" si="35"/>
        <v>#DIV/0!</v>
      </c>
    </row>
    <row r="353" spans="1:43" ht="20.100000000000001" customHeight="1" x14ac:dyDescent="0.25">
      <c r="A353" s="8">
        <v>351</v>
      </c>
      <c r="B353" s="48"/>
      <c r="C353" s="48"/>
      <c r="D353" s="48"/>
      <c r="E353" s="49"/>
      <c r="F353" s="49"/>
      <c r="G353" s="49"/>
      <c r="H353" s="49"/>
      <c r="I353" s="49"/>
      <c r="J353" s="49"/>
      <c r="K353" s="49"/>
      <c r="L353" s="49"/>
      <c r="M353" s="49"/>
      <c r="N353" s="49"/>
      <c r="O353" s="49"/>
      <c r="P353" s="49"/>
      <c r="Q353" s="49"/>
      <c r="R353" s="49"/>
      <c r="S353" s="49"/>
      <c r="T353" s="49"/>
      <c r="U353" s="49"/>
      <c r="V353" s="49"/>
      <c r="W353" s="49"/>
      <c r="X353" s="49"/>
      <c r="Y353" s="49"/>
      <c r="Z353" s="49"/>
      <c r="AA353" s="49"/>
      <c r="AB353" s="49"/>
      <c r="AC353" s="49"/>
      <c r="AD353" s="49"/>
      <c r="AE353" s="49"/>
      <c r="AF353" s="49"/>
      <c r="AG353" s="49"/>
      <c r="AH353" s="49"/>
      <c r="AI353" s="49"/>
      <c r="AJ353" s="49"/>
      <c r="AK353" s="49"/>
      <c r="AL353" s="40">
        <f t="shared" si="30"/>
        <v>0</v>
      </c>
      <c r="AM353" s="37">
        <f t="shared" si="31"/>
        <v>0</v>
      </c>
      <c r="AN353" s="37">
        <f t="shared" si="32"/>
        <v>0</v>
      </c>
      <c r="AO353" s="38" t="e">
        <f t="shared" si="33"/>
        <v>#DIV/0!</v>
      </c>
      <c r="AP353" s="38" t="e">
        <f t="shared" si="34"/>
        <v>#DIV/0!</v>
      </c>
      <c r="AQ353" s="39" t="e">
        <f t="shared" si="35"/>
        <v>#DIV/0!</v>
      </c>
    </row>
    <row r="354" spans="1:43" ht="20.100000000000001" customHeight="1" x14ac:dyDescent="0.25">
      <c r="A354" s="8">
        <v>352</v>
      </c>
      <c r="B354" s="48"/>
      <c r="C354" s="48"/>
      <c r="D354" s="48"/>
      <c r="E354" s="49"/>
      <c r="F354" s="49"/>
      <c r="G354" s="49"/>
      <c r="H354" s="49"/>
      <c r="I354" s="49"/>
      <c r="J354" s="49"/>
      <c r="K354" s="49"/>
      <c r="L354" s="49"/>
      <c r="M354" s="49"/>
      <c r="N354" s="49"/>
      <c r="O354" s="49"/>
      <c r="P354" s="49"/>
      <c r="Q354" s="49"/>
      <c r="R354" s="49"/>
      <c r="S354" s="49"/>
      <c r="T354" s="49"/>
      <c r="U354" s="49"/>
      <c r="V354" s="49"/>
      <c r="W354" s="49"/>
      <c r="X354" s="49"/>
      <c r="Y354" s="49"/>
      <c r="Z354" s="49"/>
      <c r="AA354" s="49"/>
      <c r="AB354" s="49"/>
      <c r="AC354" s="49"/>
      <c r="AD354" s="49"/>
      <c r="AE354" s="49"/>
      <c r="AF354" s="49"/>
      <c r="AG354" s="49"/>
      <c r="AH354" s="49"/>
      <c r="AI354" s="49"/>
      <c r="AJ354" s="49"/>
      <c r="AK354" s="49"/>
      <c r="AL354" s="40">
        <f t="shared" si="30"/>
        <v>0</v>
      </c>
      <c r="AM354" s="37">
        <f t="shared" si="31"/>
        <v>0</v>
      </c>
      <c r="AN354" s="37">
        <f t="shared" si="32"/>
        <v>0</v>
      </c>
      <c r="AO354" s="38" t="e">
        <f t="shared" si="33"/>
        <v>#DIV/0!</v>
      </c>
      <c r="AP354" s="38" t="e">
        <f t="shared" si="34"/>
        <v>#DIV/0!</v>
      </c>
      <c r="AQ354" s="39" t="e">
        <f t="shared" si="35"/>
        <v>#DIV/0!</v>
      </c>
    </row>
    <row r="355" spans="1:43" ht="20.100000000000001" customHeight="1" x14ac:dyDescent="0.25">
      <c r="A355" s="8">
        <v>353</v>
      </c>
      <c r="B355" s="48"/>
      <c r="C355" s="48"/>
      <c r="D355" s="48"/>
      <c r="E355" s="49"/>
      <c r="F355" s="49"/>
      <c r="G355" s="49"/>
      <c r="H355" s="49"/>
      <c r="I355" s="49"/>
      <c r="J355" s="49"/>
      <c r="K355" s="49"/>
      <c r="L355" s="49"/>
      <c r="M355" s="49"/>
      <c r="N355" s="49"/>
      <c r="O355" s="49"/>
      <c r="P355" s="49"/>
      <c r="Q355" s="49"/>
      <c r="R355" s="49"/>
      <c r="S355" s="49"/>
      <c r="T355" s="49"/>
      <c r="U355" s="49"/>
      <c r="V355" s="49"/>
      <c r="W355" s="49"/>
      <c r="X355" s="49"/>
      <c r="Y355" s="49"/>
      <c r="Z355" s="49"/>
      <c r="AA355" s="49"/>
      <c r="AB355" s="49"/>
      <c r="AC355" s="49"/>
      <c r="AD355" s="49"/>
      <c r="AE355" s="49"/>
      <c r="AF355" s="49"/>
      <c r="AG355" s="49"/>
      <c r="AH355" s="49"/>
      <c r="AI355" s="49"/>
      <c r="AJ355" s="49"/>
      <c r="AK355" s="49"/>
      <c r="AL355" s="40">
        <f t="shared" si="30"/>
        <v>0</v>
      </c>
      <c r="AM355" s="37">
        <f t="shared" si="31"/>
        <v>0</v>
      </c>
      <c r="AN355" s="37">
        <f t="shared" si="32"/>
        <v>0</v>
      </c>
      <c r="AO355" s="38" t="e">
        <f t="shared" si="33"/>
        <v>#DIV/0!</v>
      </c>
      <c r="AP355" s="38" t="e">
        <f t="shared" si="34"/>
        <v>#DIV/0!</v>
      </c>
      <c r="AQ355" s="39" t="e">
        <f t="shared" si="35"/>
        <v>#DIV/0!</v>
      </c>
    </row>
    <row r="356" spans="1:43" ht="20.100000000000001" customHeight="1" x14ac:dyDescent="0.25">
      <c r="A356" s="8">
        <v>354</v>
      </c>
      <c r="B356" s="48"/>
      <c r="C356" s="48"/>
      <c r="D356" s="48"/>
      <c r="E356" s="49"/>
      <c r="F356" s="49"/>
      <c r="G356" s="49"/>
      <c r="H356" s="49"/>
      <c r="I356" s="49"/>
      <c r="J356" s="49"/>
      <c r="K356" s="49"/>
      <c r="L356" s="49"/>
      <c r="M356" s="49"/>
      <c r="N356" s="49"/>
      <c r="O356" s="49"/>
      <c r="P356" s="49"/>
      <c r="Q356" s="49"/>
      <c r="R356" s="49"/>
      <c r="S356" s="49"/>
      <c r="T356" s="49"/>
      <c r="U356" s="49"/>
      <c r="V356" s="49"/>
      <c r="W356" s="49"/>
      <c r="X356" s="49"/>
      <c r="Y356" s="49"/>
      <c r="Z356" s="49"/>
      <c r="AA356" s="49"/>
      <c r="AB356" s="49"/>
      <c r="AC356" s="49"/>
      <c r="AD356" s="49"/>
      <c r="AE356" s="49"/>
      <c r="AF356" s="49"/>
      <c r="AG356" s="49"/>
      <c r="AH356" s="49"/>
      <c r="AI356" s="49"/>
      <c r="AJ356" s="49"/>
      <c r="AK356" s="49"/>
      <c r="AL356" s="40">
        <f t="shared" si="30"/>
        <v>0</v>
      </c>
      <c r="AM356" s="37">
        <f t="shared" si="31"/>
        <v>0</v>
      </c>
      <c r="AN356" s="37">
        <f t="shared" si="32"/>
        <v>0</v>
      </c>
      <c r="AO356" s="38" t="e">
        <f t="shared" si="33"/>
        <v>#DIV/0!</v>
      </c>
      <c r="AP356" s="38" t="e">
        <f t="shared" si="34"/>
        <v>#DIV/0!</v>
      </c>
      <c r="AQ356" s="39" t="e">
        <f t="shared" si="35"/>
        <v>#DIV/0!</v>
      </c>
    </row>
    <row r="357" spans="1:43" ht="20.100000000000001" customHeight="1" x14ac:dyDescent="0.25">
      <c r="A357" s="8">
        <v>355</v>
      </c>
      <c r="B357" s="48"/>
      <c r="C357" s="48"/>
      <c r="D357" s="48"/>
      <c r="E357" s="49"/>
      <c r="F357" s="49"/>
      <c r="G357" s="49"/>
      <c r="H357" s="49"/>
      <c r="I357" s="49"/>
      <c r="J357" s="49"/>
      <c r="K357" s="49"/>
      <c r="L357" s="49"/>
      <c r="M357" s="49"/>
      <c r="N357" s="49"/>
      <c r="O357" s="49"/>
      <c r="P357" s="49"/>
      <c r="Q357" s="49"/>
      <c r="R357" s="49"/>
      <c r="S357" s="49"/>
      <c r="T357" s="49"/>
      <c r="U357" s="49"/>
      <c r="V357" s="49"/>
      <c r="W357" s="49"/>
      <c r="X357" s="49"/>
      <c r="Y357" s="49"/>
      <c r="Z357" s="49"/>
      <c r="AA357" s="49"/>
      <c r="AB357" s="49"/>
      <c r="AC357" s="49"/>
      <c r="AD357" s="49"/>
      <c r="AE357" s="49"/>
      <c r="AF357" s="49"/>
      <c r="AG357" s="49"/>
      <c r="AH357" s="49"/>
      <c r="AI357" s="49"/>
      <c r="AJ357" s="49"/>
      <c r="AK357" s="49"/>
      <c r="AL357" s="40">
        <f t="shared" si="30"/>
        <v>0</v>
      </c>
      <c r="AM357" s="37">
        <f t="shared" si="31"/>
        <v>0</v>
      </c>
      <c r="AN357" s="37">
        <f t="shared" si="32"/>
        <v>0</v>
      </c>
      <c r="AO357" s="38" t="e">
        <f t="shared" si="33"/>
        <v>#DIV/0!</v>
      </c>
      <c r="AP357" s="38" t="e">
        <f t="shared" si="34"/>
        <v>#DIV/0!</v>
      </c>
      <c r="AQ357" s="39" t="e">
        <f t="shared" si="35"/>
        <v>#DIV/0!</v>
      </c>
    </row>
    <row r="358" spans="1:43" ht="20.100000000000001" customHeight="1" x14ac:dyDescent="0.25">
      <c r="A358" s="8">
        <v>356</v>
      </c>
      <c r="B358" s="48"/>
      <c r="C358" s="48"/>
      <c r="D358" s="48"/>
      <c r="E358" s="49"/>
      <c r="F358" s="49"/>
      <c r="G358" s="49"/>
      <c r="H358" s="49"/>
      <c r="I358" s="49"/>
      <c r="J358" s="49"/>
      <c r="K358" s="49"/>
      <c r="L358" s="49"/>
      <c r="M358" s="49"/>
      <c r="N358" s="49"/>
      <c r="O358" s="49"/>
      <c r="P358" s="49"/>
      <c r="Q358" s="49"/>
      <c r="R358" s="49"/>
      <c r="S358" s="49"/>
      <c r="T358" s="49"/>
      <c r="U358" s="49"/>
      <c r="V358" s="49"/>
      <c r="W358" s="49"/>
      <c r="X358" s="49"/>
      <c r="Y358" s="49"/>
      <c r="Z358" s="49"/>
      <c r="AA358" s="49"/>
      <c r="AB358" s="49"/>
      <c r="AC358" s="49"/>
      <c r="AD358" s="49"/>
      <c r="AE358" s="49"/>
      <c r="AF358" s="49"/>
      <c r="AG358" s="49"/>
      <c r="AH358" s="49"/>
      <c r="AI358" s="49"/>
      <c r="AJ358" s="49"/>
      <c r="AK358" s="49"/>
      <c r="AL358" s="40">
        <f t="shared" si="30"/>
        <v>0</v>
      </c>
      <c r="AM358" s="37">
        <f t="shared" si="31"/>
        <v>0</v>
      </c>
      <c r="AN358" s="37">
        <f t="shared" si="32"/>
        <v>0</v>
      </c>
      <c r="AO358" s="38" t="e">
        <f t="shared" si="33"/>
        <v>#DIV/0!</v>
      </c>
      <c r="AP358" s="38" t="e">
        <f t="shared" si="34"/>
        <v>#DIV/0!</v>
      </c>
      <c r="AQ358" s="39" t="e">
        <f t="shared" si="35"/>
        <v>#DIV/0!</v>
      </c>
    </row>
    <row r="359" spans="1:43" ht="20.100000000000001" customHeight="1" x14ac:dyDescent="0.25">
      <c r="A359" s="8">
        <v>357</v>
      </c>
      <c r="B359" s="48"/>
      <c r="C359" s="48"/>
      <c r="D359" s="48"/>
      <c r="E359" s="49"/>
      <c r="F359" s="49"/>
      <c r="G359" s="49"/>
      <c r="H359" s="49"/>
      <c r="I359" s="49"/>
      <c r="J359" s="49"/>
      <c r="K359" s="49"/>
      <c r="L359" s="49"/>
      <c r="M359" s="49"/>
      <c r="N359" s="49"/>
      <c r="O359" s="49"/>
      <c r="P359" s="49"/>
      <c r="Q359" s="49"/>
      <c r="R359" s="49"/>
      <c r="S359" s="49"/>
      <c r="T359" s="49"/>
      <c r="U359" s="49"/>
      <c r="V359" s="49"/>
      <c r="W359" s="49"/>
      <c r="X359" s="49"/>
      <c r="Y359" s="49"/>
      <c r="Z359" s="49"/>
      <c r="AA359" s="49"/>
      <c r="AB359" s="49"/>
      <c r="AC359" s="49"/>
      <c r="AD359" s="49"/>
      <c r="AE359" s="49"/>
      <c r="AF359" s="49"/>
      <c r="AG359" s="49"/>
      <c r="AH359" s="49"/>
      <c r="AI359" s="49"/>
      <c r="AJ359" s="49"/>
      <c r="AK359" s="49"/>
      <c r="AL359" s="40">
        <f t="shared" si="30"/>
        <v>0</v>
      </c>
      <c r="AM359" s="37">
        <f t="shared" si="31"/>
        <v>0</v>
      </c>
      <c r="AN359" s="37">
        <f t="shared" si="32"/>
        <v>0</v>
      </c>
      <c r="AO359" s="38" t="e">
        <f t="shared" si="33"/>
        <v>#DIV/0!</v>
      </c>
      <c r="AP359" s="38" t="e">
        <f t="shared" si="34"/>
        <v>#DIV/0!</v>
      </c>
      <c r="AQ359" s="39" t="e">
        <f t="shared" si="35"/>
        <v>#DIV/0!</v>
      </c>
    </row>
    <row r="360" spans="1:43" ht="20.100000000000001" customHeight="1" x14ac:dyDescent="0.25">
      <c r="A360" s="8">
        <v>358</v>
      </c>
      <c r="B360" s="48"/>
      <c r="C360" s="48"/>
      <c r="D360" s="48"/>
      <c r="E360" s="49"/>
      <c r="F360" s="49"/>
      <c r="G360" s="49"/>
      <c r="H360" s="49"/>
      <c r="I360" s="49"/>
      <c r="J360" s="49"/>
      <c r="K360" s="49"/>
      <c r="L360" s="49"/>
      <c r="M360" s="49"/>
      <c r="N360" s="49"/>
      <c r="O360" s="49"/>
      <c r="P360" s="49"/>
      <c r="Q360" s="49"/>
      <c r="R360" s="49"/>
      <c r="S360" s="49"/>
      <c r="T360" s="49"/>
      <c r="U360" s="49"/>
      <c r="V360" s="49"/>
      <c r="W360" s="49"/>
      <c r="X360" s="49"/>
      <c r="Y360" s="49"/>
      <c r="Z360" s="49"/>
      <c r="AA360" s="49"/>
      <c r="AB360" s="49"/>
      <c r="AC360" s="49"/>
      <c r="AD360" s="49"/>
      <c r="AE360" s="49"/>
      <c r="AF360" s="49"/>
      <c r="AG360" s="49"/>
      <c r="AH360" s="49"/>
      <c r="AI360" s="49"/>
      <c r="AJ360" s="49"/>
      <c r="AK360" s="49"/>
      <c r="AL360" s="40">
        <f t="shared" si="30"/>
        <v>0</v>
      </c>
      <c r="AM360" s="37">
        <f t="shared" si="31"/>
        <v>0</v>
      </c>
      <c r="AN360" s="37">
        <f t="shared" si="32"/>
        <v>0</v>
      </c>
      <c r="AO360" s="38" t="e">
        <f t="shared" si="33"/>
        <v>#DIV/0!</v>
      </c>
      <c r="AP360" s="38" t="e">
        <f t="shared" si="34"/>
        <v>#DIV/0!</v>
      </c>
      <c r="AQ360" s="39" t="e">
        <f t="shared" si="35"/>
        <v>#DIV/0!</v>
      </c>
    </row>
    <row r="361" spans="1:43" ht="20.100000000000001" customHeight="1" x14ac:dyDescent="0.25">
      <c r="A361" s="8">
        <v>359</v>
      </c>
      <c r="B361" s="48"/>
      <c r="C361" s="48"/>
      <c r="D361" s="48"/>
      <c r="E361" s="49"/>
      <c r="F361" s="49"/>
      <c r="G361" s="49"/>
      <c r="H361" s="49"/>
      <c r="I361" s="49"/>
      <c r="J361" s="49"/>
      <c r="K361" s="49"/>
      <c r="L361" s="49"/>
      <c r="M361" s="49"/>
      <c r="N361" s="49"/>
      <c r="O361" s="49"/>
      <c r="P361" s="49"/>
      <c r="Q361" s="49"/>
      <c r="R361" s="49"/>
      <c r="S361" s="49"/>
      <c r="T361" s="49"/>
      <c r="U361" s="49"/>
      <c r="V361" s="49"/>
      <c r="W361" s="49"/>
      <c r="X361" s="49"/>
      <c r="Y361" s="49"/>
      <c r="Z361" s="49"/>
      <c r="AA361" s="49"/>
      <c r="AB361" s="49"/>
      <c r="AC361" s="49"/>
      <c r="AD361" s="49"/>
      <c r="AE361" s="49"/>
      <c r="AF361" s="49"/>
      <c r="AG361" s="49"/>
      <c r="AH361" s="49"/>
      <c r="AI361" s="49"/>
      <c r="AJ361" s="49"/>
      <c r="AK361" s="49"/>
      <c r="AL361" s="40">
        <f t="shared" si="30"/>
        <v>0</v>
      </c>
      <c r="AM361" s="37">
        <f t="shared" si="31"/>
        <v>0</v>
      </c>
      <c r="AN361" s="37">
        <f t="shared" si="32"/>
        <v>0</v>
      </c>
      <c r="AO361" s="38" t="e">
        <f t="shared" si="33"/>
        <v>#DIV/0!</v>
      </c>
      <c r="AP361" s="38" t="e">
        <f t="shared" si="34"/>
        <v>#DIV/0!</v>
      </c>
      <c r="AQ361" s="39" t="e">
        <f t="shared" si="35"/>
        <v>#DIV/0!</v>
      </c>
    </row>
    <row r="362" spans="1:43" ht="20.100000000000001" customHeight="1" x14ac:dyDescent="0.25">
      <c r="A362" s="8">
        <v>360</v>
      </c>
      <c r="B362" s="48"/>
      <c r="C362" s="48"/>
      <c r="D362" s="48"/>
      <c r="E362" s="49"/>
      <c r="F362" s="49"/>
      <c r="G362" s="49"/>
      <c r="H362" s="49"/>
      <c r="I362" s="49"/>
      <c r="J362" s="49"/>
      <c r="K362" s="49"/>
      <c r="L362" s="49"/>
      <c r="M362" s="49"/>
      <c r="N362" s="49"/>
      <c r="O362" s="49"/>
      <c r="P362" s="49"/>
      <c r="Q362" s="49"/>
      <c r="R362" s="49"/>
      <c r="S362" s="49"/>
      <c r="T362" s="49"/>
      <c r="U362" s="49"/>
      <c r="V362" s="49"/>
      <c r="W362" s="49"/>
      <c r="X362" s="49"/>
      <c r="Y362" s="49"/>
      <c r="Z362" s="49"/>
      <c r="AA362" s="49"/>
      <c r="AB362" s="49"/>
      <c r="AC362" s="49"/>
      <c r="AD362" s="49"/>
      <c r="AE362" s="49"/>
      <c r="AF362" s="49"/>
      <c r="AG362" s="49"/>
      <c r="AH362" s="49"/>
      <c r="AI362" s="49"/>
      <c r="AJ362" s="49"/>
      <c r="AK362" s="49"/>
      <c r="AL362" s="40">
        <f t="shared" si="30"/>
        <v>0</v>
      </c>
      <c r="AM362" s="37">
        <f t="shared" si="31"/>
        <v>0</v>
      </c>
      <c r="AN362" s="37">
        <f t="shared" si="32"/>
        <v>0</v>
      </c>
      <c r="AO362" s="38" t="e">
        <f t="shared" si="33"/>
        <v>#DIV/0!</v>
      </c>
      <c r="AP362" s="38" t="e">
        <f t="shared" si="34"/>
        <v>#DIV/0!</v>
      </c>
      <c r="AQ362" s="39" t="e">
        <f t="shared" si="35"/>
        <v>#DIV/0!</v>
      </c>
    </row>
    <row r="363" spans="1:43" ht="20.100000000000001" customHeight="1" x14ac:dyDescent="0.25">
      <c r="A363" s="8">
        <v>361</v>
      </c>
      <c r="B363" s="48"/>
      <c r="C363" s="48"/>
      <c r="D363" s="48"/>
      <c r="E363" s="49"/>
      <c r="F363" s="49"/>
      <c r="G363" s="49"/>
      <c r="H363" s="49"/>
      <c r="I363" s="49"/>
      <c r="J363" s="49"/>
      <c r="K363" s="49"/>
      <c r="L363" s="49"/>
      <c r="M363" s="49"/>
      <c r="N363" s="49"/>
      <c r="O363" s="49"/>
      <c r="P363" s="49"/>
      <c r="Q363" s="49"/>
      <c r="R363" s="49"/>
      <c r="S363" s="49"/>
      <c r="T363" s="49"/>
      <c r="U363" s="49"/>
      <c r="V363" s="49"/>
      <c r="W363" s="49"/>
      <c r="X363" s="49"/>
      <c r="Y363" s="49"/>
      <c r="Z363" s="49"/>
      <c r="AA363" s="49"/>
      <c r="AB363" s="49"/>
      <c r="AC363" s="49"/>
      <c r="AD363" s="49"/>
      <c r="AE363" s="49"/>
      <c r="AF363" s="49"/>
      <c r="AG363" s="49"/>
      <c r="AH363" s="49"/>
      <c r="AI363" s="49"/>
      <c r="AJ363" s="49"/>
      <c r="AK363" s="49"/>
      <c r="AL363" s="40">
        <f t="shared" si="30"/>
        <v>0</v>
      </c>
      <c r="AM363" s="37">
        <f t="shared" si="31"/>
        <v>0</v>
      </c>
      <c r="AN363" s="37">
        <f t="shared" si="32"/>
        <v>0</v>
      </c>
      <c r="AO363" s="38" t="e">
        <f t="shared" si="33"/>
        <v>#DIV/0!</v>
      </c>
      <c r="AP363" s="38" t="e">
        <f t="shared" si="34"/>
        <v>#DIV/0!</v>
      </c>
      <c r="AQ363" s="39" t="e">
        <f t="shared" si="35"/>
        <v>#DIV/0!</v>
      </c>
    </row>
    <row r="364" spans="1:43" ht="20.100000000000001" customHeight="1" x14ac:dyDescent="0.25">
      <c r="A364" s="8">
        <v>362</v>
      </c>
      <c r="B364" s="48"/>
      <c r="C364" s="48"/>
      <c r="D364" s="48"/>
      <c r="E364" s="49"/>
      <c r="F364" s="49"/>
      <c r="G364" s="49"/>
      <c r="H364" s="49"/>
      <c r="I364" s="49"/>
      <c r="J364" s="49"/>
      <c r="K364" s="49"/>
      <c r="L364" s="49"/>
      <c r="M364" s="49"/>
      <c r="N364" s="49"/>
      <c r="O364" s="49"/>
      <c r="P364" s="49"/>
      <c r="Q364" s="49"/>
      <c r="R364" s="49"/>
      <c r="S364" s="49"/>
      <c r="T364" s="49"/>
      <c r="U364" s="49"/>
      <c r="V364" s="49"/>
      <c r="W364" s="49"/>
      <c r="X364" s="49"/>
      <c r="Y364" s="49"/>
      <c r="Z364" s="49"/>
      <c r="AA364" s="49"/>
      <c r="AB364" s="49"/>
      <c r="AC364" s="49"/>
      <c r="AD364" s="49"/>
      <c r="AE364" s="49"/>
      <c r="AF364" s="49"/>
      <c r="AG364" s="49"/>
      <c r="AH364" s="49"/>
      <c r="AI364" s="49"/>
      <c r="AJ364" s="49"/>
      <c r="AK364" s="49"/>
      <c r="AL364" s="40">
        <f t="shared" si="30"/>
        <v>0</v>
      </c>
      <c r="AM364" s="37">
        <f t="shared" si="31"/>
        <v>0</v>
      </c>
      <c r="AN364" s="37">
        <f t="shared" si="32"/>
        <v>0</v>
      </c>
      <c r="AO364" s="38" t="e">
        <f t="shared" si="33"/>
        <v>#DIV/0!</v>
      </c>
      <c r="AP364" s="38" t="e">
        <f t="shared" si="34"/>
        <v>#DIV/0!</v>
      </c>
      <c r="AQ364" s="39" t="e">
        <f t="shared" si="35"/>
        <v>#DIV/0!</v>
      </c>
    </row>
    <row r="365" spans="1:43" ht="20.100000000000001" customHeight="1" x14ac:dyDescent="0.25">
      <c r="A365" s="8">
        <v>363</v>
      </c>
      <c r="B365" s="48"/>
      <c r="C365" s="48"/>
      <c r="D365" s="48"/>
      <c r="E365" s="49"/>
      <c r="F365" s="49"/>
      <c r="G365" s="49"/>
      <c r="H365" s="49"/>
      <c r="I365" s="49"/>
      <c r="J365" s="49"/>
      <c r="K365" s="49"/>
      <c r="L365" s="49"/>
      <c r="M365" s="49"/>
      <c r="N365" s="49"/>
      <c r="O365" s="49"/>
      <c r="P365" s="49"/>
      <c r="Q365" s="49"/>
      <c r="R365" s="49"/>
      <c r="S365" s="49"/>
      <c r="T365" s="49"/>
      <c r="U365" s="49"/>
      <c r="V365" s="49"/>
      <c r="W365" s="49"/>
      <c r="X365" s="49"/>
      <c r="Y365" s="49"/>
      <c r="Z365" s="49"/>
      <c r="AA365" s="49"/>
      <c r="AB365" s="49"/>
      <c r="AC365" s="49"/>
      <c r="AD365" s="49"/>
      <c r="AE365" s="49"/>
      <c r="AF365" s="49"/>
      <c r="AG365" s="49"/>
      <c r="AH365" s="49"/>
      <c r="AI365" s="49"/>
      <c r="AJ365" s="49"/>
      <c r="AK365" s="49"/>
      <c r="AL365" s="40">
        <f t="shared" si="30"/>
        <v>0</v>
      </c>
      <c r="AM365" s="37">
        <f t="shared" si="31"/>
        <v>0</v>
      </c>
      <c r="AN365" s="37">
        <f t="shared" si="32"/>
        <v>0</v>
      </c>
      <c r="AO365" s="38" t="e">
        <f t="shared" si="33"/>
        <v>#DIV/0!</v>
      </c>
      <c r="AP365" s="38" t="e">
        <f t="shared" si="34"/>
        <v>#DIV/0!</v>
      </c>
      <c r="AQ365" s="39" t="e">
        <f t="shared" si="35"/>
        <v>#DIV/0!</v>
      </c>
    </row>
    <row r="366" spans="1:43" ht="20.100000000000001" customHeight="1" x14ac:dyDescent="0.25">
      <c r="A366" s="8">
        <v>364</v>
      </c>
      <c r="B366" s="48"/>
      <c r="C366" s="48"/>
      <c r="D366" s="48"/>
      <c r="E366" s="49"/>
      <c r="F366" s="49"/>
      <c r="G366" s="49"/>
      <c r="H366" s="49"/>
      <c r="I366" s="49"/>
      <c r="J366" s="49"/>
      <c r="K366" s="49"/>
      <c r="L366" s="49"/>
      <c r="M366" s="49"/>
      <c r="N366" s="49"/>
      <c r="O366" s="49"/>
      <c r="P366" s="49"/>
      <c r="Q366" s="49"/>
      <c r="R366" s="49"/>
      <c r="S366" s="49"/>
      <c r="T366" s="49"/>
      <c r="U366" s="49"/>
      <c r="V366" s="49"/>
      <c r="W366" s="49"/>
      <c r="X366" s="49"/>
      <c r="Y366" s="49"/>
      <c r="Z366" s="49"/>
      <c r="AA366" s="49"/>
      <c r="AB366" s="49"/>
      <c r="AC366" s="49"/>
      <c r="AD366" s="49"/>
      <c r="AE366" s="49"/>
      <c r="AF366" s="49"/>
      <c r="AG366" s="49"/>
      <c r="AH366" s="49"/>
      <c r="AI366" s="49"/>
      <c r="AJ366" s="49"/>
      <c r="AK366" s="49"/>
      <c r="AL366" s="40">
        <f t="shared" si="30"/>
        <v>0</v>
      </c>
      <c r="AM366" s="37">
        <f t="shared" si="31"/>
        <v>0</v>
      </c>
      <c r="AN366" s="37">
        <f t="shared" si="32"/>
        <v>0</v>
      </c>
      <c r="AO366" s="38" t="e">
        <f t="shared" si="33"/>
        <v>#DIV/0!</v>
      </c>
      <c r="AP366" s="38" t="e">
        <f t="shared" si="34"/>
        <v>#DIV/0!</v>
      </c>
      <c r="AQ366" s="39" t="e">
        <f t="shared" si="35"/>
        <v>#DIV/0!</v>
      </c>
    </row>
    <row r="367" spans="1:43" ht="20.100000000000001" customHeight="1" x14ac:dyDescent="0.25">
      <c r="A367" s="8">
        <v>365</v>
      </c>
      <c r="B367" s="48"/>
      <c r="C367" s="48"/>
      <c r="D367" s="48"/>
      <c r="E367" s="49"/>
      <c r="F367" s="49"/>
      <c r="G367" s="49"/>
      <c r="H367" s="49"/>
      <c r="I367" s="49"/>
      <c r="J367" s="49"/>
      <c r="K367" s="49"/>
      <c r="L367" s="49"/>
      <c r="M367" s="49"/>
      <c r="N367" s="49"/>
      <c r="O367" s="49"/>
      <c r="P367" s="49"/>
      <c r="Q367" s="49"/>
      <c r="R367" s="49"/>
      <c r="S367" s="49"/>
      <c r="T367" s="49"/>
      <c r="U367" s="49"/>
      <c r="V367" s="49"/>
      <c r="W367" s="49"/>
      <c r="X367" s="49"/>
      <c r="Y367" s="49"/>
      <c r="Z367" s="49"/>
      <c r="AA367" s="49"/>
      <c r="AB367" s="49"/>
      <c r="AC367" s="49"/>
      <c r="AD367" s="49"/>
      <c r="AE367" s="49"/>
      <c r="AF367" s="49"/>
      <c r="AG367" s="49"/>
      <c r="AH367" s="49"/>
      <c r="AI367" s="49"/>
      <c r="AJ367" s="49"/>
      <c r="AK367" s="49"/>
      <c r="AL367" s="40">
        <f t="shared" si="30"/>
        <v>0</v>
      </c>
      <c r="AM367" s="37">
        <f t="shared" si="31"/>
        <v>0</v>
      </c>
      <c r="AN367" s="37">
        <f t="shared" si="32"/>
        <v>0</v>
      </c>
      <c r="AO367" s="38" t="e">
        <f t="shared" si="33"/>
        <v>#DIV/0!</v>
      </c>
      <c r="AP367" s="38" t="e">
        <f t="shared" si="34"/>
        <v>#DIV/0!</v>
      </c>
      <c r="AQ367" s="39" t="e">
        <f t="shared" si="35"/>
        <v>#DIV/0!</v>
      </c>
    </row>
    <row r="368" spans="1:43" ht="20.100000000000001" customHeight="1" x14ac:dyDescent="0.25">
      <c r="A368" s="8">
        <v>366</v>
      </c>
      <c r="B368" s="48"/>
      <c r="C368" s="48"/>
      <c r="D368" s="48"/>
      <c r="E368" s="49"/>
      <c r="F368" s="49"/>
      <c r="G368" s="49"/>
      <c r="H368" s="49"/>
      <c r="I368" s="49"/>
      <c r="J368" s="49"/>
      <c r="K368" s="49"/>
      <c r="L368" s="49"/>
      <c r="M368" s="49"/>
      <c r="N368" s="49"/>
      <c r="O368" s="49"/>
      <c r="P368" s="49"/>
      <c r="Q368" s="49"/>
      <c r="R368" s="49"/>
      <c r="S368" s="49"/>
      <c r="T368" s="49"/>
      <c r="U368" s="49"/>
      <c r="V368" s="49"/>
      <c r="W368" s="49"/>
      <c r="X368" s="49"/>
      <c r="Y368" s="49"/>
      <c r="Z368" s="49"/>
      <c r="AA368" s="49"/>
      <c r="AB368" s="49"/>
      <c r="AC368" s="49"/>
      <c r="AD368" s="49"/>
      <c r="AE368" s="49"/>
      <c r="AF368" s="49"/>
      <c r="AG368" s="49"/>
      <c r="AH368" s="49"/>
      <c r="AI368" s="49"/>
      <c r="AJ368" s="49"/>
      <c r="AK368" s="49"/>
      <c r="AL368" s="40">
        <f t="shared" si="30"/>
        <v>0</v>
      </c>
      <c r="AM368" s="37">
        <f t="shared" si="31"/>
        <v>0</v>
      </c>
      <c r="AN368" s="37">
        <f t="shared" si="32"/>
        <v>0</v>
      </c>
      <c r="AO368" s="38" t="e">
        <f t="shared" si="33"/>
        <v>#DIV/0!</v>
      </c>
      <c r="AP368" s="38" t="e">
        <f t="shared" si="34"/>
        <v>#DIV/0!</v>
      </c>
      <c r="AQ368" s="39" t="e">
        <f t="shared" si="35"/>
        <v>#DIV/0!</v>
      </c>
    </row>
    <row r="369" spans="1:43" ht="20.100000000000001" customHeight="1" x14ac:dyDescent="0.25">
      <c r="A369" s="8">
        <v>367</v>
      </c>
      <c r="B369" s="48"/>
      <c r="C369" s="48"/>
      <c r="D369" s="48"/>
      <c r="E369" s="49"/>
      <c r="F369" s="49"/>
      <c r="G369" s="49"/>
      <c r="H369" s="49"/>
      <c r="I369" s="49"/>
      <c r="J369" s="49"/>
      <c r="K369" s="49"/>
      <c r="L369" s="49"/>
      <c r="M369" s="49"/>
      <c r="N369" s="49"/>
      <c r="O369" s="49"/>
      <c r="P369" s="49"/>
      <c r="Q369" s="49"/>
      <c r="R369" s="49"/>
      <c r="S369" s="49"/>
      <c r="T369" s="49"/>
      <c r="U369" s="49"/>
      <c r="V369" s="49"/>
      <c r="W369" s="49"/>
      <c r="X369" s="49"/>
      <c r="Y369" s="49"/>
      <c r="Z369" s="49"/>
      <c r="AA369" s="49"/>
      <c r="AB369" s="49"/>
      <c r="AC369" s="49"/>
      <c r="AD369" s="49"/>
      <c r="AE369" s="49"/>
      <c r="AF369" s="49"/>
      <c r="AG369" s="49"/>
      <c r="AH369" s="49"/>
      <c r="AI369" s="49"/>
      <c r="AJ369" s="49"/>
      <c r="AK369" s="49"/>
      <c r="AL369" s="40">
        <f t="shared" si="30"/>
        <v>0</v>
      </c>
      <c r="AM369" s="37">
        <f t="shared" si="31"/>
        <v>0</v>
      </c>
      <c r="AN369" s="37">
        <f t="shared" si="32"/>
        <v>0</v>
      </c>
      <c r="AO369" s="38" t="e">
        <f t="shared" si="33"/>
        <v>#DIV/0!</v>
      </c>
      <c r="AP369" s="38" t="e">
        <f t="shared" si="34"/>
        <v>#DIV/0!</v>
      </c>
      <c r="AQ369" s="39" t="e">
        <f t="shared" si="35"/>
        <v>#DIV/0!</v>
      </c>
    </row>
    <row r="370" spans="1:43" ht="20.100000000000001" customHeight="1" x14ac:dyDescent="0.25">
      <c r="A370" s="8">
        <v>368</v>
      </c>
      <c r="B370" s="48"/>
      <c r="C370" s="48"/>
      <c r="D370" s="48"/>
      <c r="E370" s="49"/>
      <c r="F370" s="49"/>
      <c r="G370" s="49"/>
      <c r="H370" s="49"/>
      <c r="I370" s="49"/>
      <c r="J370" s="49"/>
      <c r="K370" s="49"/>
      <c r="L370" s="49"/>
      <c r="M370" s="49"/>
      <c r="N370" s="49"/>
      <c r="O370" s="49"/>
      <c r="P370" s="49"/>
      <c r="Q370" s="49"/>
      <c r="R370" s="49"/>
      <c r="S370" s="49"/>
      <c r="T370" s="49"/>
      <c r="U370" s="49"/>
      <c r="V370" s="49"/>
      <c r="W370" s="49"/>
      <c r="X370" s="49"/>
      <c r="Y370" s="49"/>
      <c r="Z370" s="49"/>
      <c r="AA370" s="49"/>
      <c r="AB370" s="49"/>
      <c r="AC370" s="49"/>
      <c r="AD370" s="49"/>
      <c r="AE370" s="49"/>
      <c r="AF370" s="49"/>
      <c r="AG370" s="49"/>
      <c r="AH370" s="49"/>
      <c r="AI370" s="49"/>
      <c r="AJ370" s="49"/>
      <c r="AK370" s="49"/>
      <c r="AL370" s="40">
        <f t="shared" si="30"/>
        <v>0</v>
      </c>
      <c r="AM370" s="37">
        <f t="shared" si="31"/>
        <v>0</v>
      </c>
      <c r="AN370" s="37">
        <f t="shared" si="32"/>
        <v>0</v>
      </c>
      <c r="AO370" s="38" t="e">
        <f t="shared" si="33"/>
        <v>#DIV/0!</v>
      </c>
      <c r="AP370" s="38" t="e">
        <f t="shared" si="34"/>
        <v>#DIV/0!</v>
      </c>
      <c r="AQ370" s="39" t="e">
        <f t="shared" si="35"/>
        <v>#DIV/0!</v>
      </c>
    </row>
    <row r="371" spans="1:43" ht="20.100000000000001" customHeight="1" x14ac:dyDescent="0.25">
      <c r="A371" s="8">
        <v>369</v>
      </c>
      <c r="B371" s="48"/>
      <c r="C371" s="48"/>
      <c r="D371" s="48"/>
      <c r="E371" s="49"/>
      <c r="F371" s="49"/>
      <c r="G371" s="49"/>
      <c r="H371" s="49"/>
      <c r="I371" s="49"/>
      <c r="J371" s="49"/>
      <c r="K371" s="49"/>
      <c r="L371" s="49"/>
      <c r="M371" s="49"/>
      <c r="N371" s="49"/>
      <c r="O371" s="49"/>
      <c r="P371" s="49"/>
      <c r="Q371" s="49"/>
      <c r="R371" s="49"/>
      <c r="S371" s="49"/>
      <c r="T371" s="49"/>
      <c r="U371" s="49"/>
      <c r="V371" s="49"/>
      <c r="W371" s="49"/>
      <c r="X371" s="49"/>
      <c r="Y371" s="49"/>
      <c r="Z371" s="49"/>
      <c r="AA371" s="49"/>
      <c r="AB371" s="49"/>
      <c r="AC371" s="49"/>
      <c r="AD371" s="49"/>
      <c r="AE371" s="49"/>
      <c r="AF371" s="49"/>
      <c r="AG371" s="49"/>
      <c r="AH371" s="49"/>
      <c r="AI371" s="49"/>
      <c r="AJ371" s="49"/>
      <c r="AK371" s="49"/>
      <c r="AL371" s="40">
        <f t="shared" si="30"/>
        <v>0</v>
      </c>
      <c r="AM371" s="37">
        <f t="shared" si="31"/>
        <v>0</v>
      </c>
      <c r="AN371" s="37">
        <f t="shared" si="32"/>
        <v>0</v>
      </c>
      <c r="AO371" s="38" t="e">
        <f t="shared" si="33"/>
        <v>#DIV/0!</v>
      </c>
      <c r="AP371" s="38" t="e">
        <f t="shared" si="34"/>
        <v>#DIV/0!</v>
      </c>
      <c r="AQ371" s="39" t="e">
        <f t="shared" si="35"/>
        <v>#DIV/0!</v>
      </c>
    </row>
    <row r="372" spans="1:43" ht="20.100000000000001" customHeight="1" x14ac:dyDescent="0.25">
      <c r="A372" s="8">
        <v>370</v>
      </c>
      <c r="B372" s="48"/>
      <c r="C372" s="48"/>
      <c r="D372" s="48"/>
      <c r="E372" s="49"/>
      <c r="F372" s="49"/>
      <c r="G372" s="49"/>
      <c r="H372" s="49"/>
      <c r="I372" s="49"/>
      <c r="J372" s="49"/>
      <c r="K372" s="49"/>
      <c r="L372" s="49"/>
      <c r="M372" s="49"/>
      <c r="N372" s="49"/>
      <c r="O372" s="49"/>
      <c r="P372" s="49"/>
      <c r="Q372" s="49"/>
      <c r="R372" s="49"/>
      <c r="S372" s="49"/>
      <c r="T372" s="49"/>
      <c r="U372" s="49"/>
      <c r="V372" s="49"/>
      <c r="W372" s="49"/>
      <c r="X372" s="49"/>
      <c r="Y372" s="49"/>
      <c r="Z372" s="49"/>
      <c r="AA372" s="49"/>
      <c r="AB372" s="49"/>
      <c r="AC372" s="49"/>
      <c r="AD372" s="49"/>
      <c r="AE372" s="49"/>
      <c r="AF372" s="49"/>
      <c r="AG372" s="49"/>
      <c r="AH372" s="49"/>
      <c r="AI372" s="49"/>
      <c r="AJ372" s="49"/>
      <c r="AK372" s="49"/>
      <c r="AL372" s="40">
        <f t="shared" si="30"/>
        <v>0</v>
      </c>
      <c r="AM372" s="37">
        <f t="shared" si="31"/>
        <v>0</v>
      </c>
      <c r="AN372" s="37">
        <f t="shared" si="32"/>
        <v>0</v>
      </c>
      <c r="AO372" s="38" t="e">
        <f t="shared" si="33"/>
        <v>#DIV/0!</v>
      </c>
      <c r="AP372" s="38" t="e">
        <f t="shared" si="34"/>
        <v>#DIV/0!</v>
      </c>
      <c r="AQ372" s="39" t="e">
        <f t="shared" si="35"/>
        <v>#DIV/0!</v>
      </c>
    </row>
    <row r="373" spans="1:43" ht="20.100000000000001" customHeight="1" x14ac:dyDescent="0.25">
      <c r="A373" s="8">
        <v>371</v>
      </c>
      <c r="B373" s="48"/>
      <c r="C373" s="48"/>
      <c r="D373" s="48"/>
      <c r="E373" s="49"/>
      <c r="F373" s="49"/>
      <c r="G373" s="49"/>
      <c r="H373" s="49"/>
      <c r="I373" s="49"/>
      <c r="J373" s="49"/>
      <c r="K373" s="49"/>
      <c r="L373" s="49"/>
      <c r="M373" s="49"/>
      <c r="N373" s="49"/>
      <c r="O373" s="49"/>
      <c r="P373" s="49"/>
      <c r="Q373" s="49"/>
      <c r="R373" s="49"/>
      <c r="S373" s="49"/>
      <c r="T373" s="49"/>
      <c r="U373" s="49"/>
      <c r="V373" s="49"/>
      <c r="W373" s="49"/>
      <c r="X373" s="49"/>
      <c r="Y373" s="49"/>
      <c r="Z373" s="49"/>
      <c r="AA373" s="49"/>
      <c r="AB373" s="49"/>
      <c r="AC373" s="49"/>
      <c r="AD373" s="49"/>
      <c r="AE373" s="49"/>
      <c r="AF373" s="49"/>
      <c r="AG373" s="49"/>
      <c r="AH373" s="49"/>
      <c r="AI373" s="49"/>
      <c r="AJ373" s="49"/>
      <c r="AK373" s="49"/>
      <c r="AL373" s="40">
        <f t="shared" si="30"/>
        <v>0</v>
      </c>
      <c r="AM373" s="37">
        <f t="shared" si="31"/>
        <v>0</v>
      </c>
      <c r="AN373" s="37">
        <f t="shared" si="32"/>
        <v>0</v>
      </c>
      <c r="AO373" s="38" t="e">
        <f t="shared" si="33"/>
        <v>#DIV/0!</v>
      </c>
      <c r="AP373" s="38" t="e">
        <f t="shared" si="34"/>
        <v>#DIV/0!</v>
      </c>
      <c r="AQ373" s="39" t="e">
        <f t="shared" si="35"/>
        <v>#DIV/0!</v>
      </c>
    </row>
    <row r="374" spans="1:43" ht="20.100000000000001" customHeight="1" x14ac:dyDescent="0.25">
      <c r="A374" s="8">
        <v>372</v>
      </c>
      <c r="B374" s="48"/>
      <c r="C374" s="48"/>
      <c r="D374" s="48"/>
      <c r="E374" s="49"/>
      <c r="F374" s="49"/>
      <c r="G374" s="49"/>
      <c r="H374" s="49"/>
      <c r="I374" s="49"/>
      <c r="J374" s="49"/>
      <c r="K374" s="49"/>
      <c r="L374" s="49"/>
      <c r="M374" s="49"/>
      <c r="N374" s="49"/>
      <c r="O374" s="49"/>
      <c r="P374" s="49"/>
      <c r="Q374" s="49"/>
      <c r="R374" s="49"/>
      <c r="S374" s="49"/>
      <c r="T374" s="49"/>
      <c r="U374" s="49"/>
      <c r="V374" s="49"/>
      <c r="W374" s="49"/>
      <c r="X374" s="49"/>
      <c r="Y374" s="49"/>
      <c r="Z374" s="49"/>
      <c r="AA374" s="49"/>
      <c r="AB374" s="49"/>
      <c r="AC374" s="49"/>
      <c r="AD374" s="49"/>
      <c r="AE374" s="49"/>
      <c r="AF374" s="49"/>
      <c r="AG374" s="49"/>
      <c r="AH374" s="49"/>
      <c r="AI374" s="49"/>
      <c r="AJ374" s="49"/>
      <c r="AK374" s="49"/>
      <c r="AL374" s="40">
        <f t="shared" si="30"/>
        <v>0</v>
      </c>
      <c r="AM374" s="37">
        <f t="shared" si="31"/>
        <v>0</v>
      </c>
      <c r="AN374" s="37">
        <f t="shared" si="32"/>
        <v>0</v>
      </c>
      <c r="AO374" s="38" t="e">
        <f t="shared" si="33"/>
        <v>#DIV/0!</v>
      </c>
      <c r="AP374" s="38" t="e">
        <f t="shared" si="34"/>
        <v>#DIV/0!</v>
      </c>
      <c r="AQ374" s="39" t="e">
        <f t="shared" si="35"/>
        <v>#DIV/0!</v>
      </c>
    </row>
    <row r="375" spans="1:43" ht="20.100000000000001" customHeight="1" x14ac:dyDescent="0.25">
      <c r="A375" s="8">
        <v>373</v>
      </c>
      <c r="B375" s="48"/>
      <c r="C375" s="48"/>
      <c r="D375" s="48"/>
      <c r="E375" s="49"/>
      <c r="F375" s="49"/>
      <c r="G375" s="49"/>
      <c r="H375" s="49"/>
      <c r="I375" s="49"/>
      <c r="J375" s="49"/>
      <c r="K375" s="49"/>
      <c r="L375" s="49"/>
      <c r="M375" s="49"/>
      <c r="N375" s="49"/>
      <c r="O375" s="49"/>
      <c r="P375" s="49"/>
      <c r="Q375" s="49"/>
      <c r="R375" s="49"/>
      <c r="S375" s="49"/>
      <c r="T375" s="49"/>
      <c r="U375" s="49"/>
      <c r="V375" s="49"/>
      <c r="W375" s="49"/>
      <c r="X375" s="49"/>
      <c r="Y375" s="49"/>
      <c r="Z375" s="49"/>
      <c r="AA375" s="49"/>
      <c r="AB375" s="49"/>
      <c r="AC375" s="49"/>
      <c r="AD375" s="49"/>
      <c r="AE375" s="49"/>
      <c r="AF375" s="49"/>
      <c r="AG375" s="49"/>
      <c r="AH375" s="49"/>
      <c r="AI375" s="49"/>
      <c r="AJ375" s="49"/>
      <c r="AK375" s="49"/>
      <c r="AL375" s="40">
        <f t="shared" si="30"/>
        <v>0</v>
      </c>
      <c r="AM375" s="37">
        <f t="shared" si="31"/>
        <v>0</v>
      </c>
      <c r="AN375" s="37">
        <f t="shared" si="32"/>
        <v>0</v>
      </c>
      <c r="AO375" s="38" t="e">
        <f t="shared" si="33"/>
        <v>#DIV/0!</v>
      </c>
      <c r="AP375" s="38" t="e">
        <f t="shared" si="34"/>
        <v>#DIV/0!</v>
      </c>
      <c r="AQ375" s="39" t="e">
        <f t="shared" si="35"/>
        <v>#DIV/0!</v>
      </c>
    </row>
    <row r="376" spans="1:43" ht="20.100000000000001" customHeight="1" x14ac:dyDescent="0.25">
      <c r="A376" s="8">
        <v>374</v>
      </c>
      <c r="B376" s="48"/>
      <c r="C376" s="48"/>
      <c r="D376" s="48"/>
      <c r="E376" s="49"/>
      <c r="F376" s="49"/>
      <c r="G376" s="49"/>
      <c r="H376" s="49"/>
      <c r="I376" s="49"/>
      <c r="J376" s="49"/>
      <c r="K376" s="49"/>
      <c r="L376" s="49"/>
      <c r="M376" s="49"/>
      <c r="N376" s="49"/>
      <c r="O376" s="49"/>
      <c r="P376" s="49"/>
      <c r="Q376" s="49"/>
      <c r="R376" s="49"/>
      <c r="S376" s="49"/>
      <c r="T376" s="49"/>
      <c r="U376" s="49"/>
      <c r="V376" s="49"/>
      <c r="W376" s="49"/>
      <c r="X376" s="49"/>
      <c r="Y376" s="49"/>
      <c r="Z376" s="49"/>
      <c r="AA376" s="49"/>
      <c r="AB376" s="49"/>
      <c r="AC376" s="49"/>
      <c r="AD376" s="49"/>
      <c r="AE376" s="49"/>
      <c r="AF376" s="49"/>
      <c r="AG376" s="49"/>
      <c r="AH376" s="49"/>
      <c r="AI376" s="49"/>
      <c r="AJ376" s="49"/>
      <c r="AK376" s="49"/>
      <c r="AL376" s="40">
        <f t="shared" si="30"/>
        <v>0</v>
      </c>
      <c r="AM376" s="37">
        <f t="shared" si="31"/>
        <v>0</v>
      </c>
      <c r="AN376" s="37">
        <f t="shared" si="32"/>
        <v>0</v>
      </c>
      <c r="AO376" s="38" t="e">
        <f t="shared" si="33"/>
        <v>#DIV/0!</v>
      </c>
      <c r="AP376" s="38" t="e">
        <f t="shared" si="34"/>
        <v>#DIV/0!</v>
      </c>
      <c r="AQ376" s="39" t="e">
        <f t="shared" si="35"/>
        <v>#DIV/0!</v>
      </c>
    </row>
    <row r="377" spans="1:43" ht="20.100000000000001" customHeight="1" x14ac:dyDescent="0.25">
      <c r="A377" s="8">
        <v>375</v>
      </c>
      <c r="B377" s="48"/>
      <c r="C377" s="48"/>
      <c r="D377" s="48"/>
      <c r="E377" s="49"/>
      <c r="F377" s="49"/>
      <c r="G377" s="49"/>
      <c r="H377" s="49"/>
      <c r="I377" s="49"/>
      <c r="J377" s="49"/>
      <c r="K377" s="49"/>
      <c r="L377" s="49"/>
      <c r="M377" s="49"/>
      <c r="N377" s="49"/>
      <c r="O377" s="49"/>
      <c r="P377" s="49"/>
      <c r="Q377" s="49"/>
      <c r="R377" s="49"/>
      <c r="S377" s="49"/>
      <c r="T377" s="49"/>
      <c r="U377" s="49"/>
      <c r="V377" s="49"/>
      <c r="W377" s="49"/>
      <c r="X377" s="49"/>
      <c r="Y377" s="49"/>
      <c r="Z377" s="49"/>
      <c r="AA377" s="49"/>
      <c r="AB377" s="49"/>
      <c r="AC377" s="49"/>
      <c r="AD377" s="49"/>
      <c r="AE377" s="49"/>
      <c r="AF377" s="49"/>
      <c r="AG377" s="49"/>
      <c r="AH377" s="49"/>
      <c r="AI377" s="49"/>
      <c r="AJ377" s="49"/>
      <c r="AK377" s="49"/>
      <c r="AL377" s="40">
        <f t="shared" si="30"/>
        <v>0</v>
      </c>
      <c r="AM377" s="37">
        <f t="shared" si="31"/>
        <v>0</v>
      </c>
      <c r="AN377" s="37">
        <f t="shared" si="32"/>
        <v>0</v>
      </c>
      <c r="AO377" s="38" t="e">
        <f t="shared" si="33"/>
        <v>#DIV/0!</v>
      </c>
      <c r="AP377" s="38" t="e">
        <f t="shared" si="34"/>
        <v>#DIV/0!</v>
      </c>
      <c r="AQ377" s="39" t="e">
        <f t="shared" si="35"/>
        <v>#DIV/0!</v>
      </c>
    </row>
    <row r="378" spans="1:43" ht="20.100000000000001" customHeight="1" x14ac:dyDescent="0.25">
      <c r="A378" s="8">
        <v>376</v>
      </c>
      <c r="B378" s="48"/>
      <c r="C378" s="48"/>
      <c r="D378" s="48"/>
      <c r="E378" s="49"/>
      <c r="F378" s="49"/>
      <c r="G378" s="49"/>
      <c r="H378" s="49"/>
      <c r="I378" s="49"/>
      <c r="J378" s="49"/>
      <c r="K378" s="49"/>
      <c r="L378" s="49"/>
      <c r="M378" s="49"/>
      <c r="N378" s="49"/>
      <c r="O378" s="49"/>
      <c r="P378" s="49"/>
      <c r="Q378" s="49"/>
      <c r="R378" s="49"/>
      <c r="S378" s="49"/>
      <c r="T378" s="49"/>
      <c r="U378" s="49"/>
      <c r="V378" s="49"/>
      <c r="W378" s="49"/>
      <c r="X378" s="49"/>
      <c r="Y378" s="49"/>
      <c r="Z378" s="49"/>
      <c r="AA378" s="49"/>
      <c r="AB378" s="49"/>
      <c r="AC378" s="49"/>
      <c r="AD378" s="49"/>
      <c r="AE378" s="49"/>
      <c r="AF378" s="49"/>
      <c r="AG378" s="49"/>
      <c r="AH378" s="49"/>
      <c r="AI378" s="49"/>
      <c r="AJ378" s="49"/>
      <c r="AK378" s="49"/>
      <c r="AL378" s="40">
        <f t="shared" si="30"/>
        <v>0</v>
      </c>
      <c r="AM378" s="37">
        <f t="shared" si="31"/>
        <v>0</v>
      </c>
      <c r="AN378" s="37">
        <f t="shared" si="32"/>
        <v>0</v>
      </c>
      <c r="AO378" s="38" t="e">
        <f t="shared" si="33"/>
        <v>#DIV/0!</v>
      </c>
      <c r="AP378" s="38" t="e">
        <f t="shared" si="34"/>
        <v>#DIV/0!</v>
      </c>
      <c r="AQ378" s="39" t="e">
        <f t="shared" si="35"/>
        <v>#DIV/0!</v>
      </c>
    </row>
    <row r="379" spans="1:43" ht="20.100000000000001" customHeight="1" x14ac:dyDescent="0.25">
      <c r="A379" s="8">
        <v>377</v>
      </c>
      <c r="B379" s="48"/>
      <c r="C379" s="48"/>
      <c r="D379" s="48"/>
      <c r="E379" s="49"/>
      <c r="F379" s="49"/>
      <c r="G379" s="49"/>
      <c r="H379" s="49"/>
      <c r="I379" s="49"/>
      <c r="J379" s="49"/>
      <c r="K379" s="49"/>
      <c r="L379" s="49"/>
      <c r="M379" s="49"/>
      <c r="N379" s="49"/>
      <c r="O379" s="49"/>
      <c r="P379" s="49"/>
      <c r="Q379" s="49"/>
      <c r="R379" s="49"/>
      <c r="S379" s="49"/>
      <c r="T379" s="49"/>
      <c r="U379" s="49"/>
      <c r="V379" s="49"/>
      <c r="W379" s="49"/>
      <c r="X379" s="49"/>
      <c r="Y379" s="49"/>
      <c r="Z379" s="49"/>
      <c r="AA379" s="49"/>
      <c r="AB379" s="49"/>
      <c r="AC379" s="49"/>
      <c r="AD379" s="49"/>
      <c r="AE379" s="49"/>
      <c r="AF379" s="49"/>
      <c r="AG379" s="49"/>
      <c r="AH379" s="49"/>
      <c r="AI379" s="49"/>
      <c r="AJ379" s="49"/>
      <c r="AK379" s="49"/>
      <c r="AL379" s="40">
        <f t="shared" si="30"/>
        <v>0</v>
      </c>
      <c r="AM379" s="37">
        <f t="shared" si="31"/>
        <v>0</v>
      </c>
      <c r="AN379" s="37">
        <f t="shared" si="32"/>
        <v>0</v>
      </c>
      <c r="AO379" s="38" t="e">
        <f t="shared" si="33"/>
        <v>#DIV/0!</v>
      </c>
      <c r="AP379" s="38" t="e">
        <f t="shared" si="34"/>
        <v>#DIV/0!</v>
      </c>
      <c r="AQ379" s="39" t="e">
        <f t="shared" si="35"/>
        <v>#DIV/0!</v>
      </c>
    </row>
    <row r="380" spans="1:43" ht="20.100000000000001" customHeight="1" x14ac:dyDescent="0.25">
      <c r="A380" s="8">
        <v>378</v>
      </c>
      <c r="B380" s="48"/>
      <c r="C380" s="48"/>
      <c r="D380" s="48"/>
      <c r="E380" s="49"/>
      <c r="F380" s="49"/>
      <c r="G380" s="49"/>
      <c r="H380" s="49"/>
      <c r="I380" s="49"/>
      <c r="J380" s="49"/>
      <c r="K380" s="49"/>
      <c r="L380" s="49"/>
      <c r="M380" s="49"/>
      <c r="N380" s="49"/>
      <c r="O380" s="49"/>
      <c r="P380" s="49"/>
      <c r="Q380" s="49"/>
      <c r="R380" s="49"/>
      <c r="S380" s="49"/>
      <c r="T380" s="49"/>
      <c r="U380" s="49"/>
      <c r="V380" s="49"/>
      <c r="W380" s="49"/>
      <c r="X380" s="49"/>
      <c r="Y380" s="49"/>
      <c r="Z380" s="49"/>
      <c r="AA380" s="49"/>
      <c r="AB380" s="49"/>
      <c r="AC380" s="49"/>
      <c r="AD380" s="49"/>
      <c r="AE380" s="49"/>
      <c r="AF380" s="49"/>
      <c r="AG380" s="49"/>
      <c r="AH380" s="49"/>
      <c r="AI380" s="49"/>
      <c r="AJ380" s="49"/>
      <c r="AK380" s="49"/>
      <c r="AL380" s="40">
        <f t="shared" si="30"/>
        <v>0</v>
      </c>
      <c r="AM380" s="37">
        <f t="shared" si="31"/>
        <v>0</v>
      </c>
      <c r="AN380" s="37">
        <f t="shared" si="32"/>
        <v>0</v>
      </c>
      <c r="AO380" s="38" t="e">
        <f t="shared" si="33"/>
        <v>#DIV/0!</v>
      </c>
      <c r="AP380" s="38" t="e">
        <f t="shared" si="34"/>
        <v>#DIV/0!</v>
      </c>
      <c r="AQ380" s="39" t="e">
        <f t="shared" si="35"/>
        <v>#DIV/0!</v>
      </c>
    </row>
    <row r="381" spans="1:43" ht="20.100000000000001" customHeight="1" x14ac:dyDescent="0.25">
      <c r="A381" s="8">
        <v>379</v>
      </c>
      <c r="B381" s="48"/>
      <c r="C381" s="48"/>
      <c r="D381" s="48"/>
      <c r="E381" s="49"/>
      <c r="F381" s="49"/>
      <c r="G381" s="49"/>
      <c r="H381" s="49"/>
      <c r="I381" s="49"/>
      <c r="J381" s="49"/>
      <c r="K381" s="49"/>
      <c r="L381" s="49"/>
      <c r="M381" s="49"/>
      <c r="N381" s="49"/>
      <c r="O381" s="49"/>
      <c r="P381" s="49"/>
      <c r="Q381" s="49"/>
      <c r="R381" s="49"/>
      <c r="S381" s="49"/>
      <c r="T381" s="49"/>
      <c r="U381" s="49"/>
      <c r="V381" s="49"/>
      <c r="W381" s="49"/>
      <c r="X381" s="49"/>
      <c r="Y381" s="49"/>
      <c r="Z381" s="49"/>
      <c r="AA381" s="49"/>
      <c r="AB381" s="49"/>
      <c r="AC381" s="49"/>
      <c r="AD381" s="49"/>
      <c r="AE381" s="49"/>
      <c r="AF381" s="49"/>
      <c r="AG381" s="49"/>
      <c r="AH381" s="49"/>
      <c r="AI381" s="49"/>
      <c r="AJ381" s="49"/>
      <c r="AK381" s="49"/>
      <c r="AL381" s="40">
        <f t="shared" si="30"/>
        <v>0</v>
      </c>
      <c r="AM381" s="37">
        <f t="shared" si="31"/>
        <v>0</v>
      </c>
      <c r="AN381" s="37">
        <f t="shared" si="32"/>
        <v>0</v>
      </c>
      <c r="AO381" s="38" t="e">
        <f t="shared" si="33"/>
        <v>#DIV/0!</v>
      </c>
      <c r="AP381" s="38" t="e">
        <f t="shared" si="34"/>
        <v>#DIV/0!</v>
      </c>
      <c r="AQ381" s="39" t="e">
        <f t="shared" si="35"/>
        <v>#DIV/0!</v>
      </c>
    </row>
    <row r="382" spans="1:43" ht="20.100000000000001" customHeight="1" x14ac:dyDescent="0.25">
      <c r="A382" s="8">
        <v>380</v>
      </c>
      <c r="B382" s="48"/>
      <c r="C382" s="48"/>
      <c r="D382" s="48"/>
      <c r="E382" s="49"/>
      <c r="F382" s="49"/>
      <c r="G382" s="49"/>
      <c r="H382" s="49"/>
      <c r="I382" s="49"/>
      <c r="J382" s="49"/>
      <c r="K382" s="49"/>
      <c r="L382" s="49"/>
      <c r="M382" s="49"/>
      <c r="N382" s="49"/>
      <c r="O382" s="49"/>
      <c r="P382" s="49"/>
      <c r="Q382" s="49"/>
      <c r="R382" s="49"/>
      <c r="S382" s="49"/>
      <c r="T382" s="49"/>
      <c r="U382" s="49"/>
      <c r="V382" s="49"/>
      <c r="W382" s="49"/>
      <c r="X382" s="49"/>
      <c r="Y382" s="49"/>
      <c r="Z382" s="49"/>
      <c r="AA382" s="49"/>
      <c r="AB382" s="49"/>
      <c r="AC382" s="49"/>
      <c r="AD382" s="49"/>
      <c r="AE382" s="49"/>
      <c r="AF382" s="49"/>
      <c r="AG382" s="49"/>
      <c r="AH382" s="49"/>
      <c r="AI382" s="49"/>
      <c r="AJ382" s="49"/>
      <c r="AK382" s="49"/>
      <c r="AL382" s="40">
        <f t="shared" si="30"/>
        <v>0</v>
      </c>
      <c r="AM382" s="37">
        <f t="shared" si="31"/>
        <v>0</v>
      </c>
      <c r="AN382" s="37">
        <f t="shared" si="32"/>
        <v>0</v>
      </c>
      <c r="AO382" s="38" t="e">
        <f t="shared" si="33"/>
        <v>#DIV/0!</v>
      </c>
      <c r="AP382" s="38" t="e">
        <f t="shared" si="34"/>
        <v>#DIV/0!</v>
      </c>
      <c r="AQ382" s="39" t="e">
        <f t="shared" si="35"/>
        <v>#DIV/0!</v>
      </c>
    </row>
    <row r="383" spans="1:43" ht="20.100000000000001" customHeight="1" x14ac:dyDescent="0.25">
      <c r="A383" s="8">
        <v>381</v>
      </c>
      <c r="B383" s="48"/>
      <c r="C383" s="48"/>
      <c r="D383" s="48"/>
      <c r="E383" s="49"/>
      <c r="F383" s="49"/>
      <c r="G383" s="49"/>
      <c r="H383" s="49"/>
      <c r="I383" s="49"/>
      <c r="J383" s="49"/>
      <c r="K383" s="49"/>
      <c r="L383" s="49"/>
      <c r="M383" s="49"/>
      <c r="N383" s="49"/>
      <c r="O383" s="49"/>
      <c r="P383" s="49"/>
      <c r="Q383" s="49"/>
      <c r="R383" s="49"/>
      <c r="S383" s="49"/>
      <c r="T383" s="49"/>
      <c r="U383" s="49"/>
      <c r="V383" s="49"/>
      <c r="W383" s="49"/>
      <c r="X383" s="49"/>
      <c r="Y383" s="49"/>
      <c r="Z383" s="49"/>
      <c r="AA383" s="49"/>
      <c r="AB383" s="49"/>
      <c r="AC383" s="49"/>
      <c r="AD383" s="49"/>
      <c r="AE383" s="49"/>
      <c r="AF383" s="49"/>
      <c r="AG383" s="49"/>
      <c r="AH383" s="49"/>
      <c r="AI383" s="49"/>
      <c r="AJ383" s="49"/>
      <c r="AK383" s="49"/>
      <c r="AL383" s="40">
        <f t="shared" si="30"/>
        <v>0</v>
      </c>
      <c r="AM383" s="37">
        <f t="shared" si="31"/>
        <v>0</v>
      </c>
      <c r="AN383" s="37">
        <f t="shared" si="32"/>
        <v>0</v>
      </c>
      <c r="AO383" s="38" t="e">
        <f t="shared" si="33"/>
        <v>#DIV/0!</v>
      </c>
      <c r="AP383" s="38" t="e">
        <f t="shared" si="34"/>
        <v>#DIV/0!</v>
      </c>
      <c r="AQ383" s="39" t="e">
        <f t="shared" si="35"/>
        <v>#DIV/0!</v>
      </c>
    </row>
    <row r="384" spans="1:43" ht="20.100000000000001" customHeight="1" x14ac:dyDescent="0.25">
      <c r="A384" s="8">
        <v>382</v>
      </c>
      <c r="B384" s="48"/>
      <c r="C384" s="48"/>
      <c r="D384" s="48"/>
      <c r="E384" s="49"/>
      <c r="F384" s="49"/>
      <c r="G384" s="49"/>
      <c r="H384" s="49"/>
      <c r="I384" s="49"/>
      <c r="J384" s="49"/>
      <c r="K384" s="49"/>
      <c r="L384" s="49"/>
      <c r="M384" s="49"/>
      <c r="N384" s="49"/>
      <c r="O384" s="49"/>
      <c r="P384" s="49"/>
      <c r="Q384" s="49"/>
      <c r="R384" s="49"/>
      <c r="S384" s="49"/>
      <c r="T384" s="49"/>
      <c r="U384" s="49"/>
      <c r="V384" s="49"/>
      <c r="W384" s="49"/>
      <c r="X384" s="49"/>
      <c r="Y384" s="49"/>
      <c r="Z384" s="49"/>
      <c r="AA384" s="49"/>
      <c r="AB384" s="49"/>
      <c r="AC384" s="49"/>
      <c r="AD384" s="49"/>
      <c r="AE384" s="49"/>
      <c r="AF384" s="49"/>
      <c r="AG384" s="49"/>
      <c r="AH384" s="49"/>
      <c r="AI384" s="49"/>
      <c r="AJ384" s="49"/>
      <c r="AK384" s="49"/>
      <c r="AL384" s="40">
        <f t="shared" si="30"/>
        <v>0</v>
      </c>
      <c r="AM384" s="37">
        <f t="shared" si="31"/>
        <v>0</v>
      </c>
      <c r="AN384" s="37">
        <f t="shared" si="32"/>
        <v>0</v>
      </c>
      <c r="AO384" s="38" t="e">
        <f t="shared" si="33"/>
        <v>#DIV/0!</v>
      </c>
      <c r="AP384" s="38" t="e">
        <f t="shared" si="34"/>
        <v>#DIV/0!</v>
      </c>
      <c r="AQ384" s="39" t="e">
        <f t="shared" si="35"/>
        <v>#DIV/0!</v>
      </c>
    </row>
    <row r="385" spans="1:43" ht="20.100000000000001" customHeight="1" x14ac:dyDescent="0.25">
      <c r="A385" s="8">
        <v>383</v>
      </c>
      <c r="B385" s="48"/>
      <c r="C385" s="48"/>
      <c r="D385" s="48"/>
      <c r="E385" s="49"/>
      <c r="F385" s="49"/>
      <c r="G385" s="49"/>
      <c r="H385" s="49"/>
      <c r="I385" s="49"/>
      <c r="J385" s="49"/>
      <c r="K385" s="49"/>
      <c r="L385" s="49"/>
      <c r="M385" s="49"/>
      <c r="N385" s="49"/>
      <c r="O385" s="49"/>
      <c r="P385" s="49"/>
      <c r="Q385" s="49"/>
      <c r="R385" s="49"/>
      <c r="S385" s="49"/>
      <c r="T385" s="49"/>
      <c r="U385" s="49"/>
      <c r="V385" s="49"/>
      <c r="W385" s="49"/>
      <c r="X385" s="49"/>
      <c r="Y385" s="49"/>
      <c r="Z385" s="49"/>
      <c r="AA385" s="49"/>
      <c r="AB385" s="49"/>
      <c r="AC385" s="49"/>
      <c r="AD385" s="49"/>
      <c r="AE385" s="49"/>
      <c r="AF385" s="49"/>
      <c r="AG385" s="49"/>
      <c r="AH385" s="49"/>
      <c r="AI385" s="49"/>
      <c r="AJ385" s="49"/>
      <c r="AK385" s="49"/>
      <c r="AL385" s="40">
        <f t="shared" si="30"/>
        <v>0</v>
      </c>
      <c r="AM385" s="37">
        <f t="shared" si="31"/>
        <v>0</v>
      </c>
      <c r="AN385" s="37">
        <f t="shared" si="32"/>
        <v>0</v>
      </c>
      <c r="AO385" s="38" t="e">
        <f t="shared" si="33"/>
        <v>#DIV/0!</v>
      </c>
      <c r="AP385" s="38" t="e">
        <f t="shared" si="34"/>
        <v>#DIV/0!</v>
      </c>
      <c r="AQ385" s="39" t="e">
        <f t="shared" si="35"/>
        <v>#DIV/0!</v>
      </c>
    </row>
    <row r="386" spans="1:43" ht="20.100000000000001" customHeight="1" x14ac:dyDescent="0.25">
      <c r="A386" s="8">
        <v>384</v>
      </c>
      <c r="B386" s="48"/>
      <c r="C386" s="48"/>
      <c r="D386" s="48"/>
      <c r="E386" s="49"/>
      <c r="F386" s="49"/>
      <c r="G386" s="49"/>
      <c r="H386" s="49"/>
      <c r="I386" s="49"/>
      <c r="J386" s="49"/>
      <c r="K386" s="49"/>
      <c r="L386" s="49"/>
      <c r="M386" s="49"/>
      <c r="N386" s="49"/>
      <c r="O386" s="49"/>
      <c r="P386" s="49"/>
      <c r="Q386" s="49"/>
      <c r="R386" s="49"/>
      <c r="S386" s="49"/>
      <c r="T386" s="49"/>
      <c r="U386" s="49"/>
      <c r="V386" s="49"/>
      <c r="W386" s="49"/>
      <c r="X386" s="49"/>
      <c r="Y386" s="49"/>
      <c r="Z386" s="49"/>
      <c r="AA386" s="49"/>
      <c r="AB386" s="49"/>
      <c r="AC386" s="49"/>
      <c r="AD386" s="49"/>
      <c r="AE386" s="49"/>
      <c r="AF386" s="49"/>
      <c r="AG386" s="49"/>
      <c r="AH386" s="49"/>
      <c r="AI386" s="49"/>
      <c r="AJ386" s="49"/>
      <c r="AK386" s="49"/>
      <c r="AL386" s="40">
        <f t="shared" si="30"/>
        <v>0</v>
      </c>
      <c r="AM386" s="37">
        <f t="shared" si="31"/>
        <v>0</v>
      </c>
      <c r="AN386" s="37">
        <f t="shared" si="32"/>
        <v>0</v>
      </c>
      <c r="AO386" s="38" t="e">
        <f t="shared" si="33"/>
        <v>#DIV/0!</v>
      </c>
      <c r="AP386" s="38" t="e">
        <f t="shared" si="34"/>
        <v>#DIV/0!</v>
      </c>
      <c r="AQ386" s="39" t="e">
        <f t="shared" si="35"/>
        <v>#DIV/0!</v>
      </c>
    </row>
    <row r="387" spans="1:43" ht="20.100000000000001" customHeight="1" x14ac:dyDescent="0.25">
      <c r="A387" s="8">
        <v>385</v>
      </c>
      <c r="B387" s="48"/>
      <c r="C387" s="48"/>
      <c r="D387" s="48"/>
      <c r="E387" s="49"/>
      <c r="F387" s="49"/>
      <c r="G387" s="49"/>
      <c r="H387" s="49"/>
      <c r="I387" s="49"/>
      <c r="J387" s="49"/>
      <c r="K387" s="49"/>
      <c r="L387" s="49"/>
      <c r="M387" s="49"/>
      <c r="N387" s="49"/>
      <c r="O387" s="49"/>
      <c r="P387" s="49"/>
      <c r="Q387" s="49"/>
      <c r="R387" s="49"/>
      <c r="S387" s="49"/>
      <c r="T387" s="49"/>
      <c r="U387" s="49"/>
      <c r="V387" s="49"/>
      <c r="W387" s="49"/>
      <c r="X387" s="49"/>
      <c r="Y387" s="49"/>
      <c r="Z387" s="49"/>
      <c r="AA387" s="49"/>
      <c r="AB387" s="49"/>
      <c r="AC387" s="49"/>
      <c r="AD387" s="49"/>
      <c r="AE387" s="49"/>
      <c r="AF387" s="49"/>
      <c r="AG387" s="49"/>
      <c r="AH387" s="49"/>
      <c r="AI387" s="49"/>
      <c r="AJ387" s="49"/>
      <c r="AK387" s="49"/>
      <c r="AL387" s="40">
        <f t="shared" ref="AL387:AL402" si="36">COUNTIF($H387:$AK387,1)</f>
        <v>0</v>
      </c>
      <c r="AM387" s="37">
        <f t="shared" ref="AM387:AM402" si="37">COUNTIF($H387:$AK387,0)</f>
        <v>0</v>
      </c>
      <c r="AN387" s="37">
        <f t="shared" si="32"/>
        <v>0</v>
      </c>
      <c r="AO387" s="38" t="e">
        <f t="shared" si="33"/>
        <v>#DIV/0!</v>
      </c>
      <c r="AP387" s="38" t="e">
        <f t="shared" si="34"/>
        <v>#DIV/0!</v>
      </c>
      <c r="AQ387" s="39" t="e">
        <f t="shared" si="35"/>
        <v>#DIV/0!</v>
      </c>
    </row>
    <row r="388" spans="1:43" ht="20.100000000000001" customHeight="1" x14ac:dyDescent="0.25">
      <c r="A388" s="8">
        <v>386</v>
      </c>
      <c r="B388" s="48"/>
      <c r="C388" s="48"/>
      <c r="D388" s="48"/>
      <c r="E388" s="49"/>
      <c r="F388" s="49"/>
      <c r="G388" s="49"/>
      <c r="H388" s="49"/>
      <c r="I388" s="49"/>
      <c r="J388" s="49"/>
      <c r="K388" s="49"/>
      <c r="L388" s="49"/>
      <c r="M388" s="49"/>
      <c r="N388" s="49"/>
      <c r="O388" s="49"/>
      <c r="P388" s="49"/>
      <c r="Q388" s="49"/>
      <c r="R388" s="49"/>
      <c r="S388" s="49"/>
      <c r="T388" s="49"/>
      <c r="U388" s="49"/>
      <c r="V388" s="49"/>
      <c r="W388" s="49"/>
      <c r="X388" s="49"/>
      <c r="Y388" s="49"/>
      <c r="Z388" s="49"/>
      <c r="AA388" s="49"/>
      <c r="AB388" s="49"/>
      <c r="AC388" s="49"/>
      <c r="AD388" s="49"/>
      <c r="AE388" s="49"/>
      <c r="AF388" s="49"/>
      <c r="AG388" s="49"/>
      <c r="AH388" s="49"/>
      <c r="AI388" s="49"/>
      <c r="AJ388" s="49"/>
      <c r="AK388" s="49"/>
      <c r="AL388" s="40">
        <f t="shared" si="36"/>
        <v>0</v>
      </c>
      <c r="AM388" s="37">
        <f t="shared" si="37"/>
        <v>0</v>
      </c>
      <c r="AN388" s="37">
        <f t="shared" ref="AN388:AN402" si="38">SUM(AL388:AM388)</f>
        <v>0</v>
      </c>
      <c r="AO388" s="38" t="e">
        <f t="shared" ref="AO388:AO402" si="39">(AL388/AN388)*100</f>
        <v>#DIV/0!</v>
      </c>
      <c r="AP388" s="38" t="e">
        <f t="shared" ref="AP388:AP402" si="40">(AM388/AN388)*100</f>
        <v>#DIV/0!</v>
      </c>
      <c r="AQ388" s="39" t="e">
        <f t="shared" ref="AQ388:AQ402" si="41">SUM(AO388:AP388)</f>
        <v>#DIV/0!</v>
      </c>
    </row>
    <row r="389" spans="1:43" ht="20.100000000000001" customHeight="1" x14ac:dyDescent="0.25">
      <c r="A389" s="8">
        <v>387</v>
      </c>
      <c r="B389" s="48"/>
      <c r="C389" s="48"/>
      <c r="D389" s="48"/>
      <c r="E389" s="49"/>
      <c r="F389" s="49"/>
      <c r="G389" s="49"/>
      <c r="H389" s="49"/>
      <c r="I389" s="49"/>
      <c r="J389" s="49"/>
      <c r="K389" s="49"/>
      <c r="L389" s="49"/>
      <c r="M389" s="49"/>
      <c r="N389" s="49"/>
      <c r="O389" s="49"/>
      <c r="P389" s="49"/>
      <c r="Q389" s="49"/>
      <c r="R389" s="49"/>
      <c r="S389" s="49"/>
      <c r="T389" s="49"/>
      <c r="U389" s="49"/>
      <c r="V389" s="49"/>
      <c r="W389" s="49"/>
      <c r="X389" s="49"/>
      <c r="Y389" s="49"/>
      <c r="Z389" s="49"/>
      <c r="AA389" s="49"/>
      <c r="AB389" s="49"/>
      <c r="AC389" s="49"/>
      <c r="AD389" s="49"/>
      <c r="AE389" s="49"/>
      <c r="AF389" s="49"/>
      <c r="AG389" s="49"/>
      <c r="AH389" s="49"/>
      <c r="AI389" s="49"/>
      <c r="AJ389" s="49"/>
      <c r="AK389" s="49"/>
      <c r="AL389" s="40">
        <f t="shared" si="36"/>
        <v>0</v>
      </c>
      <c r="AM389" s="37">
        <f t="shared" si="37"/>
        <v>0</v>
      </c>
      <c r="AN389" s="37">
        <f t="shared" si="38"/>
        <v>0</v>
      </c>
      <c r="AO389" s="38" t="e">
        <f t="shared" si="39"/>
        <v>#DIV/0!</v>
      </c>
      <c r="AP389" s="38" t="e">
        <f t="shared" si="40"/>
        <v>#DIV/0!</v>
      </c>
      <c r="AQ389" s="39" t="e">
        <f t="shared" si="41"/>
        <v>#DIV/0!</v>
      </c>
    </row>
    <row r="390" spans="1:43" ht="20.100000000000001" customHeight="1" x14ac:dyDescent="0.25">
      <c r="A390" s="8">
        <v>388</v>
      </c>
      <c r="B390" s="48"/>
      <c r="C390" s="48"/>
      <c r="D390" s="48"/>
      <c r="E390" s="49"/>
      <c r="F390" s="49"/>
      <c r="G390" s="49"/>
      <c r="H390" s="49"/>
      <c r="I390" s="49"/>
      <c r="J390" s="49"/>
      <c r="K390" s="49"/>
      <c r="L390" s="49"/>
      <c r="M390" s="49"/>
      <c r="N390" s="49"/>
      <c r="O390" s="49"/>
      <c r="P390" s="49"/>
      <c r="Q390" s="49"/>
      <c r="R390" s="49"/>
      <c r="S390" s="49"/>
      <c r="T390" s="49"/>
      <c r="U390" s="49"/>
      <c r="V390" s="49"/>
      <c r="W390" s="49"/>
      <c r="X390" s="49"/>
      <c r="Y390" s="49"/>
      <c r="Z390" s="49"/>
      <c r="AA390" s="49"/>
      <c r="AB390" s="49"/>
      <c r="AC390" s="49"/>
      <c r="AD390" s="49"/>
      <c r="AE390" s="49"/>
      <c r="AF390" s="49"/>
      <c r="AG390" s="49"/>
      <c r="AH390" s="49"/>
      <c r="AI390" s="49"/>
      <c r="AJ390" s="49"/>
      <c r="AK390" s="49"/>
      <c r="AL390" s="40">
        <f t="shared" si="36"/>
        <v>0</v>
      </c>
      <c r="AM390" s="37">
        <f t="shared" si="37"/>
        <v>0</v>
      </c>
      <c r="AN390" s="37">
        <f t="shared" si="38"/>
        <v>0</v>
      </c>
      <c r="AO390" s="38" t="e">
        <f t="shared" si="39"/>
        <v>#DIV/0!</v>
      </c>
      <c r="AP390" s="38" t="e">
        <f t="shared" si="40"/>
        <v>#DIV/0!</v>
      </c>
      <c r="AQ390" s="39" t="e">
        <f t="shared" si="41"/>
        <v>#DIV/0!</v>
      </c>
    </row>
    <row r="391" spans="1:43" ht="20.100000000000001" customHeight="1" x14ac:dyDescent="0.25">
      <c r="A391" s="8">
        <v>389</v>
      </c>
      <c r="B391" s="48"/>
      <c r="C391" s="48"/>
      <c r="D391" s="48"/>
      <c r="E391" s="49"/>
      <c r="F391" s="49"/>
      <c r="G391" s="49"/>
      <c r="H391" s="49"/>
      <c r="I391" s="49"/>
      <c r="J391" s="49"/>
      <c r="K391" s="49"/>
      <c r="L391" s="49"/>
      <c r="M391" s="49"/>
      <c r="N391" s="49"/>
      <c r="O391" s="49"/>
      <c r="P391" s="49"/>
      <c r="Q391" s="49"/>
      <c r="R391" s="49"/>
      <c r="S391" s="49"/>
      <c r="T391" s="49"/>
      <c r="U391" s="49"/>
      <c r="V391" s="49"/>
      <c r="W391" s="49"/>
      <c r="X391" s="49"/>
      <c r="Y391" s="49"/>
      <c r="Z391" s="49"/>
      <c r="AA391" s="49"/>
      <c r="AB391" s="49"/>
      <c r="AC391" s="49"/>
      <c r="AD391" s="49"/>
      <c r="AE391" s="49"/>
      <c r="AF391" s="49"/>
      <c r="AG391" s="49"/>
      <c r="AH391" s="49"/>
      <c r="AI391" s="49"/>
      <c r="AJ391" s="49"/>
      <c r="AK391" s="49"/>
      <c r="AL391" s="40">
        <f t="shared" si="36"/>
        <v>0</v>
      </c>
      <c r="AM391" s="37">
        <f t="shared" si="37"/>
        <v>0</v>
      </c>
      <c r="AN391" s="37">
        <f t="shared" si="38"/>
        <v>0</v>
      </c>
      <c r="AO391" s="38" t="e">
        <f t="shared" si="39"/>
        <v>#DIV/0!</v>
      </c>
      <c r="AP391" s="38" t="e">
        <f t="shared" si="40"/>
        <v>#DIV/0!</v>
      </c>
      <c r="AQ391" s="39" t="e">
        <f t="shared" si="41"/>
        <v>#DIV/0!</v>
      </c>
    </row>
    <row r="392" spans="1:43" ht="20.100000000000001" customHeight="1" x14ac:dyDescent="0.25">
      <c r="A392" s="8">
        <v>390</v>
      </c>
      <c r="B392" s="48"/>
      <c r="C392" s="48"/>
      <c r="D392" s="48"/>
      <c r="E392" s="49"/>
      <c r="F392" s="49"/>
      <c r="G392" s="49"/>
      <c r="H392" s="49"/>
      <c r="I392" s="49"/>
      <c r="J392" s="49"/>
      <c r="K392" s="49"/>
      <c r="L392" s="49"/>
      <c r="M392" s="49"/>
      <c r="N392" s="49"/>
      <c r="O392" s="49"/>
      <c r="P392" s="49"/>
      <c r="Q392" s="49"/>
      <c r="R392" s="49"/>
      <c r="S392" s="49"/>
      <c r="T392" s="49"/>
      <c r="U392" s="49"/>
      <c r="V392" s="49"/>
      <c r="W392" s="49"/>
      <c r="X392" s="49"/>
      <c r="Y392" s="49"/>
      <c r="Z392" s="49"/>
      <c r="AA392" s="49"/>
      <c r="AB392" s="49"/>
      <c r="AC392" s="49"/>
      <c r="AD392" s="49"/>
      <c r="AE392" s="49"/>
      <c r="AF392" s="49"/>
      <c r="AG392" s="49"/>
      <c r="AH392" s="49"/>
      <c r="AI392" s="49"/>
      <c r="AJ392" s="49"/>
      <c r="AK392" s="49"/>
      <c r="AL392" s="40">
        <f t="shared" si="36"/>
        <v>0</v>
      </c>
      <c r="AM392" s="37">
        <f t="shared" si="37"/>
        <v>0</v>
      </c>
      <c r="AN392" s="37">
        <f t="shared" si="38"/>
        <v>0</v>
      </c>
      <c r="AO392" s="38" t="e">
        <f t="shared" si="39"/>
        <v>#DIV/0!</v>
      </c>
      <c r="AP392" s="38" t="e">
        <f t="shared" si="40"/>
        <v>#DIV/0!</v>
      </c>
      <c r="AQ392" s="39" t="e">
        <f t="shared" si="41"/>
        <v>#DIV/0!</v>
      </c>
    </row>
    <row r="393" spans="1:43" ht="20.100000000000001" customHeight="1" x14ac:dyDescent="0.25">
      <c r="A393" s="8">
        <v>391</v>
      </c>
      <c r="B393" s="48"/>
      <c r="C393" s="48"/>
      <c r="D393" s="48"/>
      <c r="E393" s="49"/>
      <c r="F393" s="49"/>
      <c r="G393" s="49"/>
      <c r="H393" s="49"/>
      <c r="I393" s="49"/>
      <c r="J393" s="49"/>
      <c r="K393" s="49"/>
      <c r="L393" s="49"/>
      <c r="M393" s="49"/>
      <c r="N393" s="49"/>
      <c r="O393" s="49"/>
      <c r="P393" s="49"/>
      <c r="Q393" s="49"/>
      <c r="R393" s="49"/>
      <c r="S393" s="49"/>
      <c r="T393" s="49"/>
      <c r="U393" s="49"/>
      <c r="V393" s="49"/>
      <c r="W393" s="49"/>
      <c r="X393" s="49"/>
      <c r="Y393" s="49"/>
      <c r="Z393" s="49"/>
      <c r="AA393" s="49"/>
      <c r="AB393" s="49"/>
      <c r="AC393" s="49"/>
      <c r="AD393" s="49"/>
      <c r="AE393" s="49"/>
      <c r="AF393" s="49"/>
      <c r="AG393" s="49"/>
      <c r="AH393" s="49"/>
      <c r="AI393" s="49"/>
      <c r="AJ393" s="49"/>
      <c r="AK393" s="49"/>
      <c r="AL393" s="40">
        <f t="shared" si="36"/>
        <v>0</v>
      </c>
      <c r="AM393" s="37">
        <f t="shared" si="37"/>
        <v>0</v>
      </c>
      <c r="AN393" s="37">
        <f t="shared" si="38"/>
        <v>0</v>
      </c>
      <c r="AO393" s="38" t="e">
        <f t="shared" si="39"/>
        <v>#DIV/0!</v>
      </c>
      <c r="AP393" s="38" t="e">
        <f t="shared" si="40"/>
        <v>#DIV/0!</v>
      </c>
      <c r="AQ393" s="39" t="e">
        <f t="shared" si="41"/>
        <v>#DIV/0!</v>
      </c>
    </row>
    <row r="394" spans="1:43" ht="20.100000000000001" customHeight="1" x14ac:dyDescent="0.25">
      <c r="A394" s="8">
        <v>392</v>
      </c>
      <c r="B394" s="48"/>
      <c r="C394" s="48"/>
      <c r="D394" s="48"/>
      <c r="E394" s="49"/>
      <c r="F394" s="49"/>
      <c r="G394" s="49"/>
      <c r="H394" s="49"/>
      <c r="I394" s="49"/>
      <c r="J394" s="49"/>
      <c r="K394" s="49"/>
      <c r="L394" s="49"/>
      <c r="M394" s="49"/>
      <c r="N394" s="49"/>
      <c r="O394" s="49"/>
      <c r="P394" s="49"/>
      <c r="Q394" s="49"/>
      <c r="R394" s="49"/>
      <c r="S394" s="49"/>
      <c r="T394" s="49"/>
      <c r="U394" s="49"/>
      <c r="V394" s="49"/>
      <c r="W394" s="49"/>
      <c r="X394" s="49"/>
      <c r="Y394" s="49"/>
      <c r="Z394" s="49"/>
      <c r="AA394" s="49"/>
      <c r="AB394" s="49"/>
      <c r="AC394" s="49"/>
      <c r="AD394" s="49"/>
      <c r="AE394" s="49"/>
      <c r="AF394" s="49"/>
      <c r="AG394" s="49"/>
      <c r="AH394" s="49"/>
      <c r="AI394" s="49"/>
      <c r="AJ394" s="49"/>
      <c r="AK394" s="49"/>
      <c r="AL394" s="40">
        <f t="shared" si="36"/>
        <v>0</v>
      </c>
      <c r="AM394" s="37">
        <f t="shared" si="37"/>
        <v>0</v>
      </c>
      <c r="AN394" s="37">
        <f t="shared" si="38"/>
        <v>0</v>
      </c>
      <c r="AO394" s="38" t="e">
        <f t="shared" si="39"/>
        <v>#DIV/0!</v>
      </c>
      <c r="AP394" s="38" t="e">
        <f t="shared" si="40"/>
        <v>#DIV/0!</v>
      </c>
      <c r="AQ394" s="39" t="e">
        <f t="shared" si="41"/>
        <v>#DIV/0!</v>
      </c>
    </row>
    <row r="395" spans="1:43" ht="20.100000000000001" customHeight="1" x14ac:dyDescent="0.25">
      <c r="A395" s="8">
        <v>393</v>
      </c>
      <c r="B395" s="48"/>
      <c r="C395" s="48"/>
      <c r="D395" s="48"/>
      <c r="E395" s="49"/>
      <c r="F395" s="49"/>
      <c r="G395" s="49"/>
      <c r="H395" s="49"/>
      <c r="I395" s="49"/>
      <c r="J395" s="49"/>
      <c r="K395" s="49"/>
      <c r="L395" s="49"/>
      <c r="M395" s="49"/>
      <c r="N395" s="49"/>
      <c r="O395" s="49"/>
      <c r="P395" s="49"/>
      <c r="Q395" s="49"/>
      <c r="R395" s="49"/>
      <c r="S395" s="49"/>
      <c r="T395" s="49"/>
      <c r="U395" s="49"/>
      <c r="V395" s="49"/>
      <c r="W395" s="49"/>
      <c r="X395" s="49"/>
      <c r="Y395" s="49"/>
      <c r="Z395" s="49"/>
      <c r="AA395" s="49"/>
      <c r="AB395" s="49"/>
      <c r="AC395" s="49"/>
      <c r="AD395" s="49"/>
      <c r="AE395" s="49"/>
      <c r="AF395" s="49"/>
      <c r="AG395" s="49"/>
      <c r="AH395" s="49"/>
      <c r="AI395" s="49"/>
      <c r="AJ395" s="49"/>
      <c r="AK395" s="49"/>
      <c r="AL395" s="40">
        <f t="shared" si="36"/>
        <v>0</v>
      </c>
      <c r="AM395" s="37">
        <f t="shared" si="37"/>
        <v>0</v>
      </c>
      <c r="AN395" s="37">
        <f t="shared" si="38"/>
        <v>0</v>
      </c>
      <c r="AO395" s="38" t="e">
        <f t="shared" si="39"/>
        <v>#DIV/0!</v>
      </c>
      <c r="AP395" s="38" t="e">
        <f t="shared" si="40"/>
        <v>#DIV/0!</v>
      </c>
      <c r="AQ395" s="39" t="e">
        <f t="shared" si="41"/>
        <v>#DIV/0!</v>
      </c>
    </row>
    <row r="396" spans="1:43" ht="20.100000000000001" customHeight="1" x14ac:dyDescent="0.25">
      <c r="A396" s="8">
        <v>394</v>
      </c>
      <c r="B396" s="48"/>
      <c r="C396" s="48"/>
      <c r="D396" s="48"/>
      <c r="E396" s="49"/>
      <c r="F396" s="49"/>
      <c r="G396" s="49"/>
      <c r="H396" s="49"/>
      <c r="I396" s="49"/>
      <c r="J396" s="49"/>
      <c r="K396" s="49"/>
      <c r="L396" s="49"/>
      <c r="M396" s="49"/>
      <c r="N396" s="49"/>
      <c r="O396" s="49"/>
      <c r="P396" s="49"/>
      <c r="Q396" s="49"/>
      <c r="R396" s="49"/>
      <c r="S396" s="49"/>
      <c r="T396" s="49"/>
      <c r="U396" s="49"/>
      <c r="V396" s="49"/>
      <c r="W396" s="49"/>
      <c r="X396" s="49"/>
      <c r="Y396" s="49"/>
      <c r="Z396" s="49"/>
      <c r="AA396" s="49"/>
      <c r="AB396" s="49"/>
      <c r="AC396" s="49"/>
      <c r="AD396" s="49"/>
      <c r="AE396" s="49"/>
      <c r="AF396" s="49"/>
      <c r="AG396" s="49"/>
      <c r="AH396" s="49"/>
      <c r="AI396" s="49"/>
      <c r="AJ396" s="49"/>
      <c r="AK396" s="49"/>
      <c r="AL396" s="40">
        <f t="shared" si="36"/>
        <v>0</v>
      </c>
      <c r="AM396" s="37">
        <f t="shared" si="37"/>
        <v>0</v>
      </c>
      <c r="AN396" s="37">
        <f t="shared" si="38"/>
        <v>0</v>
      </c>
      <c r="AO396" s="38" t="e">
        <f t="shared" si="39"/>
        <v>#DIV/0!</v>
      </c>
      <c r="AP396" s="38" t="e">
        <f t="shared" si="40"/>
        <v>#DIV/0!</v>
      </c>
      <c r="AQ396" s="39" t="e">
        <f t="shared" si="41"/>
        <v>#DIV/0!</v>
      </c>
    </row>
    <row r="397" spans="1:43" ht="20.100000000000001" customHeight="1" x14ac:dyDescent="0.25">
      <c r="A397" s="8">
        <v>395</v>
      </c>
      <c r="B397" s="48"/>
      <c r="C397" s="48"/>
      <c r="D397" s="48"/>
      <c r="E397" s="49"/>
      <c r="F397" s="49"/>
      <c r="G397" s="49"/>
      <c r="H397" s="49"/>
      <c r="I397" s="49"/>
      <c r="J397" s="49"/>
      <c r="K397" s="49"/>
      <c r="L397" s="49"/>
      <c r="M397" s="49"/>
      <c r="N397" s="49"/>
      <c r="O397" s="49"/>
      <c r="P397" s="49"/>
      <c r="Q397" s="49"/>
      <c r="R397" s="49"/>
      <c r="S397" s="49"/>
      <c r="T397" s="49"/>
      <c r="U397" s="49"/>
      <c r="V397" s="49"/>
      <c r="W397" s="49"/>
      <c r="X397" s="49"/>
      <c r="Y397" s="49"/>
      <c r="Z397" s="49"/>
      <c r="AA397" s="49"/>
      <c r="AB397" s="49"/>
      <c r="AC397" s="49"/>
      <c r="AD397" s="49"/>
      <c r="AE397" s="49"/>
      <c r="AF397" s="49"/>
      <c r="AG397" s="49"/>
      <c r="AH397" s="49"/>
      <c r="AI397" s="49"/>
      <c r="AJ397" s="49"/>
      <c r="AK397" s="49"/>
      <c r="AL397" s="40">
        <f t="shared" si="36"/>
        <v>0</v>
      </c>
      <c r="AM397" s="37">
        <f t="shared" si="37"/>
        <v>0</v>
      </c>
      <c r="AN397" s="37">
        <f t="shared" si="38"/>
        <v>0</v>
      </c>
      <c r="AO397" s="38" t="e">
        <f t="shared" si="39"/>
        <v>#DIV/0!</v>
      </c>
      <c r="AP397" s="38" t="e">
        <f t="shared" si="40"/>
        <v>#DIV/0!</v>
      </c>
      <c r="AQ397" s="39" t="e">
        <f t="shared" si="41"/>
        <v>#DIV/0!</v>
      </c>
    </row>
    <row r="398" spans="1:43" ht="20.100000000000001" customHeight="1" x14ac:dyDescent="0.25">
      <c r="A398" s="8">
        <v>396</v>
      </c>
      <c r="B398" s="48"/>
      <c r="C398" s="48"/>
      <c r="D398" s="48"/>
      <c r="E398" s="49"/>
      <c r="F398" s="49"/>
      <c r="G398" s="49"/>
      <c r="H398" s="49"/>
      <c r="I398" s="49"/>
      <c r="J398" s="49"/>
      <c r="K398" s="49"/>
      <c r="L398" s="49"/>
      <c r="M398" s="49"/>
      <c r="N398" s="49"/>
      <c r="O398" s="49"/>
      <c r="P398" s="49"/>
      <c r="Q398" s="49"/>
      <c r="R398" s="49"/>
      <c r="S398" s="49"/>
      <c r="T398" s="49"/>
      <c r="U398" s="49"/>
      <c r="V398" s="49"/>
      <c r="W398" s="49"/>
      <c r="X398" s="49"/>
      <c r="Y398" s="49"/>
      <c r="Z398" s="49"/>
      <c r="AA398" s="49"/>
      <c r="AB398" s="49"/>
      <c r="AC398" s="49"/>
      <c r="AD398" s="49"/>
      <c r="AE398" s="49"/>
      <c r="AF398" s="49"/>
      <c r="AG398" s="49"/>
      <c r="AH398" s="49"/>
      <c r="AI398" s="49"/>
      <c r="AJ398" s="49"/>
      <c r="AK398" s="49"/>
      <c r="AL398" s="40">
        <f t="shared" si="36"/>
        <v>0</v>
      </c>
      <c r="AM398" s="37">
        <f t="shared" si="37"/>
        <v>0</v>
      </c>
      <c r="AN398" s="37">
        <f t="shared" si="38"/>
        <v>0</v>
      </c>
      <c r="AO398" s="38" t="e">
        <f t="shared" si="39"/>
        <v>#DIV/0!</v>
      </c>
      <c r="AP398" s="38" t="e">
        <f t="shared" si="40"/>
        <v>#DIV/0!</v>
      </c>
      <c r="AQ398" s="39" t="e">
        <f t="shared" si="41"/>
        <v>#DIV/0!</v>
      </c>
    </row>
    <row r="399" spans="1:43" ht="20.100000000000001" customHeight="1" x14ac:dyDescent="0.25">
      <c r="A399" s="8">
        <v>397</v>
      </c>
      <c r="B399" s="48"/>
      <c r="C399" s="48"/>
      <c r="D399" s="48"/>
      <c r="E399" s="49"/>
      <c r="F399" s="49"/>
      <c r="G399" s="49"/>
      <c r="H399" s="49"/>
      <c r="I399" s="49"/>
      <c r="J399" s="49"/>
      <c r="K399" s="49"/>
      <c r="L399" s="49"/>
      <c r="M399" s="49"/>
      <c r="N399" s="49"/>
      <c r="O399" s="49"/>
      <c r="P399" s="49"/>
      <c r="Q399" s="49"/>
      <c r="R399" s="49"/>
      <c r="S399" s="49"/>
      <c r="T399" s="49"/>
      <c r="U399" s="49"/>
      <c r="V399" s="49"/>
      <c r="W399" s="49"/>
      <c r="X399" s="49"/>
      <c r="Y399" s="49"/>
      <c r="Z399" s="49"/>
      <c r="AA399" s="49"/>
      <c r="AB399" s="49"/>
      <c r="AC399" s="49"/>
      <c r="AD399" s="49"/>
      <c r="AE399" s="49"/>
      <c r="AF399" s="49"/>
      <c r="AG399" s="49"/>
      <c r="AH399" s="49"/>
      <c r="AI399" s="49"/>
      <c r="AJ399" s="49"/>
      <c r="AK399" s="49"/>
      <c r="AL399" s="40">
        <f t="shared" si="36"/>
        <v>0</v>
      </c>
      <c r="AM399" s="37">
        <f t="shared" si="37"/>
        <v>0</v>
      </c>
      <c r="AN399" s="37">
        <f t="shared" si="38"/>
        <v>0</v>
      </c>
      <c r="AO399" s="38" t="e">
        <f t="shared" si="39"/>
        <v>#DIV/0!</v>
      </c>
      <c r="AP399" s="38" t="e">
        <f t="shared" si="40"/>
        <v>#DIV/0!</v>
      </c>
      <c r="AQ399" s="39" t="e">
        <f t="shared" si="41"/>
        <v>#DIV/0!</v>
      </c>
    </row>
    <row r="400" spans="1:43" ht="20.100000000000001" customHeight="1" x14ac:dyDescent="0.25">
      <c r="A400" s="8">
        <v>398</v>
      </c>
      <c r="B400" s="48"/>
      <c r="C400" s="48"/>
      <c r="D400" s="48"/>
      <c r="E400" s="49"/>
      <c r="F400" s="49"/>
      <c r="G400" s="49"/>
      <c r="H400" s="49"/>
      <c r="I400" s="49"/>
      <c r="J400" s="49"/>
      <c r="K400" s="49"/>
      <c r="L400" s="49"/>
      <c r="M400" s="49"/>
      <c r="N400" s="49"/>
      <c r="O400" s="49"/>
      <c r="P400" s="49"/>
      <c r="Q400" s="49"/>
      <c r="R400" s="49"/>
      <c r="S400" s="49"/>
      <c r="T400" s="49"/>
      <c r="U400" s="49"/>
      <c r="V400" s="49"/>
      <c r="W400" s="49"/>
      <c r="X400" s="49"/>
      <c r="Y400" s="49"/>
      <c r="Z400" s="49"/>
      <c r="AA400" s="49"/>
      <c r="AB400" s="49"/>
      <c r="AC400" s="49"/>
      <c r="AD400" s="49"/>
      <c r="AE400" s="49"/>
      <c r="AF400" s="49"/>
      <c r="AG400" s="49"/>
      <c r="AH400" s="49"/>
      <c r="AI400" s="49"/>
      <c r="AJ400" s="49"/>
      <c r="AK400" s="49"/>
      <c r="AL400" s="40">
        <f t="shared" si="36"/>
        <v>0</v>
      </c>
      <c r="AM400" s="37">
        <f t="shared" si="37"/>
        <v>0</v>
      </c>
      <c r="AN400" s="37">
        <f t="shared" si="38"/>
        <v>0</v>
      </c>
      <c r="AO400" s="38" t="e">
        <f t="shared" si="39"/>
        <v>#DIV/0!</v>
      </c>
      <c r="AP400" s="38" t="e">
        <f t="shared" si="40"/>
        <v>#DIV/0!</v>
      </c>
      <c r="AQ400" s="39" t="e">
        <f t="shared" si="41"/>
        <v>#DIV/0!</v>
      </c>
    </row>
    <row r="401" spans="1:43" ht="20.100000000000001" customHeight="1" x14ac:dyDescent="0.25">
      <c r="A401" s="8">
        <v>399</v>
      </c>
      <c r="B401" s="48"/>
      <c r="C401" s="48"/>
      <c r="D401" s="48"/>
      <c r="E401" s="49"/>
      <c r="F401" s="49"/>
      <c r="G401" s="49"/>
      <c r="H401" s="49"/>
      <c r="I401" s="49"/>
      <c r="J401" s="49"/>
      <c r="K401" s="49"/>
      <c r="L401" s="49"/>
      <c r="M401" s="49"/>
      <c r="N401" s="49"/>
      <c r="O401" s="49"/>
      <c r="P401" s="49"/>
      <c r="Q401" s="49"/>
      <c r="R401" s="49"/>
      <c r="S401" s="49"/>
      <c r="T401" s="49"/>
      <c r="U401" s="49"/>
      <c r="V401" s="49"/>
      <c r="W401" s="49"/>
      <c r="X401" s="49"/>
      <c r="Y401" s="49"/>
      <c r="Z401" s="49"/>
      <c r="AA401" s="49"/>
      <c r="AB401" s="49"/>
      <c r="AC401" s="49"/>
      <c r="AD401" s="49"/>
      <c r="AE401" s="49"/>
      <c r="AF401" s="49"/>
      <c r="AG401" s="49"/>
      <c r="AH401" s="49"/>
      <c r="AI401" s="49"/>
      <c r="AJ401" s="49"/>
      <c r="AK401" s="49"/>
      <c r="AL401" s="40">
        <f t="shared" si="36"/>
        <v>0</v>
      </c>
      <c r="AM401" s="37">
        <f t="shared" si="37"/>
        <v>0</v>
      </c>
      <c r="AN401" s="37">
        <f t="shared" si="38"/>
        <v>0</v>
      </c>
      <c r="AO401" s="38" t="e">
        <f t="shared" si="39"/>
        <v>#DIV/0!</v>
      </c>
      <c r="AP401" s="38" t="e">
        <f t="shared" si="40"/>
        <v>#DIV/0!</v>
      </c>
      <c r="AQ401" s="39" t="e">
        <f t="shared" si="41"/>
        <v>#DIV/0!</v>
      </c>
    </row>
    <row r="402" spans="1:43" ht="20.100000000000001" customHeight="1" thickBot="1" x14ac:dyDescent="0.3">
      <c r="A402" s="80">
        <v>400</v>
      </c>
      <c r="B402" s="85"/>
      <c r="C402" s="85"/>
      <c r="D402" s="85"/>
      <c r="E402" s="86"/>
      <c r="F402" s="86"/>
      <c r="G402" s="86"/>
      <c r="H402" s="86"/>
      <c r="I402" s="86"/>
      <c r="J402" s="86"/>
      <c r="K402" s="86"/>
      <c r="L402" s="86"/>
      <c r="M402" s="86"/>
      <c r="N402" s="86"/>
      <c r="O402" s="86"/>
      <c r="P402" s="86"/>
      <c r="Q402" s="86"/>
      <c r="R402" s="86"/>
      <c r="S402" s="86"/>
      <c r="T402" s="86"/>
      <c r="U402" s="86"/>
      <c r="V402" s="86"/>
      <c r="W402" s="86"/>
      <c r="X402" s="86"/>
      <c r="Y402" s="86"/>
      <c r="Z402" s="86"/>
      <c r="AA402" s="86"/>
      <c r="AB402" s="86"/>
      <c r="AC402" s="86"/>
      <c r="AD402" s="86"/>
      <c r="AE402" s="86"/>
      <c r="AF402" s="86"/>
      <c r="AG402" s="86"/>
      <c r="AH402" s="86"/>
      <c r="AI402" s="86"/>
      <c r="AJ402" s="86"/>
      <c r="AK402" s="86"/>
      <c r="AL402" s="81">
        <f t="shared" si="36"/>
        <v>0</v>
      </c>
      <c r="AM402" s="82">
        <f t="shared" si="37"/>
        <v>0</v>
      </c>
      <c r="AN402" s="82">
        <f t="shared" si="38"/>
        <v>0</v>
      </c>
      <c r="AO402" s="83" t="e">
        <f t="shared" si="39"/>
        <v>#DIV/0!</v>
      </c>
      <c r="AP402" s="83" t="e">
        <f t="shared" si="40"/>
        <v>#DIV/0!</v>
      </c>
      <c r="AQ402" s="84" t="e">
        <f t="shared" si="41"/>
        <v>#DIV/0!</v>
      </c>
    </row>
  </sheetData>
  <autoFilter ref="G1:G402"/>
  <mergeCells count="39">
    <mergeCell ref="AI1:AI2"/>
    <mergeCell ref="AJ1:AJ2"/>
    <mergeCell ref="AK1:AK2"/>
    <mergeCell ref="Y1:Y2"/>
    <mergeCell ref="Z1:Z2"/>
    <mergeCell ref="AA1:AA2"/>
    <mergeCell ref="AB1:AB2"/>
    <mergeCell ref="AC1:AC2"/>
    <mergeCell ref="AD1:AD2"/>
    <mergeCell ref="AE1:AE2"/>
    <mergeCell ref="AF1:AF2"/>
    <mergeCell ref="AG1:AG2"/>
    <mergeCell ref="AH1:AH2"/>
    <mergeCell ref="O1:O2"/>
    <mergeCell ref="P1:P2"/>
    <mergeCell ref="Q1:Q2"/>
    <mergeCell ref="R1:R2"/>
    <mergeCell ref="S1:S2"/>
    <mergeCell ref="T1:T2"/>
    <mergeCell ref="U1:U2"/>
    <mergeCell ref="V1:V2"/>
    <mergeCell ref="W1:W2"/>
    <mergeCell ref="X1:X2"/>
    <mergeCell ref="AL1:AN1"/>
    <mergeCell ref="AO1:AQ1"/>
    <mergeCell ref="A1:A2"/>
    <mergeCell ref="B1:B2"/>
    <mergeCell ref="C1:C2"/>
    <mergeCell ref="D1:D2"/>
    <mergeCell ref="E1:E2"/>
    <mergeCell ref="F1:F2"/>
    <mergeCell ref="G1:G2"/>
    <mergeCell ref="H1:H2"/>
    <mergeCell ref="I1:I2"/>
    <mergeCell ref="J1:J2"/>
    <mergeCell ref="K1:K2"/>
    <mergeCell ref="L1:L2"/>
    <mergeCell ref="M1:M2"/>
    <mergeCell ref="N1:N2"/>
  </mergeCells>
  <conditionalFormatting sqref="AL3:AL402">
    <cfRule type="cellIs" dxfId="17" priority="3" operator="lessThan">
      <formula>25</formula>
    </cfRule>
    <cfRule type="dataBar" priority="4">
      <dataBar>
        <cfvo type="min"/>
        <cfvo type="max"/>
        <color rgb="FF638EC6"/>
      </dataBar>
      <extLst>
        <ext xmlns:x14="http://schemas.microsoft.com/office/spreadsheetml/2009/9/main" uri="{B025F937-C7B1-47D3-B67F-A62EFF666E3E}">
          <x14:id>{978C0880-F1B3-4A11-BF84-6DDAFCB41732}</x14:id>
        </ext>
      </extLst>
    </cfRule>
  </conditionalFormatting>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978C0880-F1B3-4A11-BF84-6DDAFCB41732}">
            <x14:dataBar minLength="0" maxLength="100" gradient="0">
              <x14:cfvo type="autoMin"/>
              <x14:cfvo type="autoMax"/>
              <x14:negativeFillColor rgb="FFFF0000"/>
              <x14:axisColor rgb="FF000000"/>
            </x14:dataBar>
          </x14:cfRule>
          <xm:sqref>AL3:AL402</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C00000"/>
  </sheetPr>
  <dimension ref="A1:AQ45"/>
  <sheetViews>
    <sheetView showGridLines="0" zoomScale="80" zoomScaleNormal="80" workbookViewId="0">
      <selection sqref="A1:A2"/>
    </sheetView>
  </sheetViews>
  <sheetFormatPr baseColWidth="10" defaultRowHeight="15" x14ac:dyDescent="0.25"/>
  <cols>
    <col min="1" max="1" width="35.7109375" style="13" customWidth="1"/>
    <col min="2" max="31" width="6.7109375" style="24" customWidth="1"/>
    <col min="32" max="32" width="1.7109375" style="13" customWidth="1"/>
    <col min="33" max="34" width="25.7109375" style="13" customWidth="1"/>
    <col min="35" max="37" width="25.7109375" style="24" customWidth="1"/>
    <col min="38" max="38" width="25.7109375" style="25" customWidth="1"/>
    <col min="39" max="39" width="130.7109375" style="13" customWidth="1"/>
    <col min="40" max="41" width="12.7109375" style="24" customWidth="1"/>
    <col min="42" max="42" width="70.7109375" style="13" customWidth="1"/>
    <col min="43" max="43" width="11.42578125" style="13" customWidth="1"/>
    <col min="44" max="16384" width="11.42578125" style="13"/>
  </cols>
  <sheetData>
    <row r="1" spans="1:43" ht="39.950000000000003" customHeight="1" x14ac:dyDescent="0.25">
      <c r="A1" s="147" t="s">
        <v>48</v>
      </c>
      <c r="B1" s="149" t="s">
        <v>86</v>
      </c>
      <c r="C1" s="150"/>
      <c r="D1" s="150"/>
      <c r="E1" s="150"/>
      <c r="F1" s="150"/>
      <c r="G1" s="150"/>
      <c r="H1" s="150"/>
      <c r="I1" s="150"/>
      <c r="J1" s="150"/>
      <c r="K1" s="150"/>
      <c r="L1" s="150"/>
      <c r="M1" s="150"/>
      <c r="N1" s="150"/>
      <c r="O1" s="150"/>
      <c r="P1" s="150"/>
      <c r="Q1" s="150"/>
      <c r="R1" s="150"/>
      <c r="S1" s="150"/>
      <c r="T1" s="150"/>
      <c r="U1" s="150"/>
      <c r="V1" s="150"/>
      <c r="W1" s="150"/>
      <c r="X1" s="150"/>
      <c r="Y1" s="150"/>
      <c r="Z1" s="150"/>
      <c r="AA1" s="150"/>
      <c r="AB1" s="150"/>
      <c r="AC1" s="150"/>
      <c r="AD1" s="150"/>
      <c r="AE1" s="151"/>
      <c r="AF1" s="9"/>
      <c r="AG1" s="152" t="s">
        <v>49</v>
      </c>
      <c r="AH1" s="153"/>
      <c r="AI1" s="10" t="s">
        <v>50</v>
      </c>
      <c r="AJ1" s="6" t="s">
        <v>51</v>
      </c>
      <c r="AK1" s="7" t="s">
        <v>41</v>
      </c>
      <c r="AL1" s="9"/>
      <c r="AM1" s="11" t="s">
        <v>52</v>
      </c>
      <c r="AN1" s="10" t="s">
        <v>50</v>
      </c>
      <c r="AO1" s="10" t="s">
        <v>51</v>
      </c>
      <c r="AP1" s="50" t="s">
        <v>53</v>
      </c>
      <c r="AQ1" s="12"/>
    </row>
    <row r="2" spans="1:43" ht="15" customHeight="1" x14ac:dyDescent="0.25">
      <c r="A2" s="148"/>
      <c r="B2" s="51" t="s">
        <v>6</v>
      </c>
      <c r="C2" s="52" t="s">
        <v>7</v>
      </c>
      <c r="D2" s="53" t="s">
        <v>8</v>
      </c>
      <c r="E2" s="53" t="s">
        <v>9</v>
      </c>
      <c r="F2" s="52" t="s">
        <v>10</v>
      </c>
      <c r="G2" s="52" t="s">
        <v>11</v>
      </c>
      <c r="H2" s="52" t="s">
        <v>12</v>
      </c>
      <c r="I2" s="53" t="s">
        <v>13</v>
      </c>
      <c r="J2" s="54" t="s">
        <v>14</v>
      </c>
      <c r="K2" s="54" t="s">
        <v>15</v>
      </c>
      <c r="L2" s="54" t="s">
        <v>16</v>
      </c>
      <c r="M2" s="55" t="s">
        <v>17</v>
      </c>
      <c r="N2" s="52" t="s">
        <v>18</v>
      </c>
      <c r="O2" s="54" t="s">
        <v>19</v>
      </c>
      <c r="P2" s="52" t="s">
        <v>20</v>
      </c>
      <c r="Q2" s="53" t="s">
        <v>21</v>
      </c>
      <c r="R2" s="54" t="s">
        <v>22</v>
      </c>
      <c r="S2" s="56" t="s">
        <v>23</v>
      </c>
      <c r="T2" s="53" t="s">
        <v>24</v>
      </c>
      <c r="U2" s="54" t="s">
        <v>25</v>
      </c>
      <c r="V2" s="51" t="s">
        <v>26</v>
      </c>
      <c r="W2" s="51" t="s">
        <v>27</v>
      </c>
      <c r="X2" s="54" t="s">
        <v>28</v>
      </c>
      <c r="Y2" s="53" t="s">
        <v>29</v>
      </c>
      <c r="Z2" s="51" t="s">
        <v>30</v>
      </c>
      <c r="AA2" s="56" t="s">
        <v>31</v>
      </c>
      <c r="AB2" s="54" t="s">
        <v>32</v>
      </c>
      <c r="AC2" s="55" t="s">
        <v>33</v>
      </c>
      <c r="AD2" s="55" t="s">
        <v>34</v>
      </c>
      <c r="AE2" s="57" t="s">
        <v>35</v>
      </c>
      <c r="AF2" s="9"/>
      <c r="AG2" s="154" t="s">
        <v>54</v>
      </c>
      <c r="AH2" s="155"/>
      <c r="AI2" s="97" t="e">
        <f>((D3+E3+I3+Q3+T3+Y3)/($D$5+$E$5+$I$5+$Q$5+$T$5+$Y$5))*100</f>
        <v>#DIV/0!</v>
      </c>
      <c r="AJ2" s="98" t="e">
        <f>((D4+E4+I4+Q4+T4+Y4)/($D$5+$E$5+$I$5+$Q$5+$T$5+$Y$5))*100</f>
        <v>#DIV/0!</v>
      </c>
      <c r="AK2" s="99" t="e">
        <f t="shared" ref="AK2:AK7" si="0">SUM(AI2:AJ2)</f>
        <v>#DIV/0!</v>
      </c>
      <c r="AL2" s="9"/>
      <c r="AM2" s="14" t="s">
        <v>87</v>
      </c>
      <c r="AN2" s="104" t="e">
        <f>(E3/$E$5)*100</f>
        <v>#DIV/0!</v>
      </c>
      <c r="AO2" s="104" t="e">
        <f>(E4/$E$5)*100</f>
        <v>#DIV/0!</v>
      </c>
      <c r="AP2" s="105" t="e">
        <f>REPT("I",AN2/1)&amp;" "&amp;TEXT(AN2," 0.0")&amp;"%"</f>
        <v>#DIV/0!</v>
      </c>
      <c r="AQ2" s="12"/>
    </row>
    <row r="3" spans="1:43" ht="15" customHeight="1" x14ac:dyDescent="0.25">
      <c r="A3" s="15" t="s">
        <v>55</v>
      </c>
      <c r="B3" s="89">
        <f>SUBTOTAL(9,'Español por escuela'!H3:H402)</f>
        <v>0</v>
      </c>
      <c r="C3" s="89">
        <f>SUBTOTAL(9,'Español por escuela'!I3:I402)</f>
        <v>0</v>
      </c>
      <c r="D3" s="89">
        <f>SUBTOTAL(9,'Español por escuela'!J3:J402)</f>
        <v>0</v>
      </c>
      <c r="E3" s="89">
        <f>SUBTOTAL(9,'Español por escuela'!K3:K402)</f>
        <v>0</v>
      </c>
      <c r="F3" s="89">
        <f>SUBTOTAL(9,'Español por escuela'!L3:L402)</f>
        <v>0</v>
      </c>
      <c r="G3" s="89">
        <f>SUBTOTAL(9,'Español por escuela'!M3:M402)</f>
        <v>0</v>
      </c>
      <c r="H3" s="89">
        <f>SUBTOTAL(9,'Español por escuela'!N3:N402)</f>
        <v>0</v>
      </c>
      <c r="I3" s="89">
        <f>SUBTOTAL(9,'Español por escuela'!O3:O402)</f>
        <v>0</v>
      </c>
      <c r="J3" s="89">
        <f>SUBTOTAL(9,'Español por escuela'!P3:P402)</f>
        <v>0</v>
      </c>
      <c r="K3" s="89">
        <f>SUBTOTAL(9,'Español por escuela'!Q3:Q402)</f>
        <v>0</v>
      </c>
      <c r="L3" s="89">
        <f>SUBTOTAL(9,'Español por escuela'!R3:R402)</f>
        <v>0</v>
      </c>
      <c r="M3" s="89">
        <f>SUBTOTAL(9,'Español por escuela'!S3:S402)</f>
        <v>0</v>
      </c>
      <c r="N3" s="89">
        <f>SUBTOTAL(9,'Español por escuela'!T3:T402)</f>
        <v>0</v>
      </c>
      <c r="O3" s="89">
        <f>SUBTOTAL(9,'Español por escuela'!U3:U402)</f>
        <v>0</v>
      </c>
      <c r="P3" s="89">
        <f>SUBTOTAL(9,'Español por escuela'!V3:V402)</f>
        <v>0</v>
      </c>
      <c r="Q3" s="89">
        <f>SUBTOTAL(9,'Español por escuela'!W3:W402)</f>
        <v>0</v>
      </c>
      <c r="R3" s="89">
        <f>SUBTOTAL(9,'Español por escuela'!X3:X402)</f>
        <v>0</v>
      </c>
      <c r="S3" s="89">
        <f>SUBTOTAL(9,'Español por escuela'!Y3:Y402)</f>
        <v>0</v>
      </c>
      <c r="T3" s="89">
        <f>SUBTOTAL(9,'Español por escuela'!Z3:Z402)</f>
        <v>0</v>
      </c>
      <c r="U3" s="89">
        <f>SUBTOTAL(9,'Español por escuela'!AA3:AA402)</f>
        <v>0</v>
      </c>
      <c r="V3" s="89">
        <f>SUBTOTAL(9,'Español por escuela'!AB3:AB402)</f>
        <v>0</v>
      </c>
      <c r="W3" s="89">
        <f>SUBTOTAL(9,'Español por escuela'!AC3:AC402)</f>
        <v>0</v>
      </c>
      <c r="X3" s="89">
        <f>SUBTOTAL(9,'Español por escuela'!AD3:AD402)</f>
        <v>0</v>
      </c>
      <c r="Y3" s="89">
        <f>SUBTOTAL(9,'Español por escuela'!AE3:AE402)</f>
        <v>0</v>
      </c>
      <c r="Z3" s="89">
        <f>SUBTOTAL(9,'Español por escuela'!AF3:AF402)</f>
        <v>0</v>
      </c>
      <c r="AA3" s="89">
        <f>SUBTOTAL(9,'Español por escuela'!AG3:AG402)</f>
        <v>0</v>
      </c>
      <c r="AB3" s="89">
        <f>SUBTOTAL(9,'Español por escuela'!AH3:AH402)</f>
        <v>0</v>
      </c>
      <c r="AC3" s="89">
        <f>SUBTOTAL(9,'Español por escuela'!AI3:AI402)</f>
        <v>0</v>
      </c>
      <c r="AD3" s="89">
        <f>SUBTOTAL(9,'Español por escuela'!AJ3:AJ402)</f>
        <v>0</v>
      </c>
      <c r="AE3" s="90">
        <f>SUBTOTAL(9,'Español por escuela'!AK3:AK402)</f>
        <v>0</v>
      </c>
      <c r="AF3" s="9"/>
      <c r="AG3" s="156" t="s">
        <v>56</v>
      </c>
      <c r="AH3" s="157"/>
      <c r="AI3" s="97" t="e">
        <f>((B3+V3+W3+Z3)/($B$5+$V$5+$W$5+$Z$5))*100</f>
        <v>#DIV/0!</v>
      </c>
      <c r="AJ3" s="100" t="e">
        <f>((B4+V4+W4+Z4)/($B$5+$V$5+$W$5+$Z$5))*100</f>
        <v>#DIV/0!</v>
      </c>
      <c r="AK3" s="99" t="e">
        <f t="shared" si="0"/>
        <v>#DIV/0!</v>
      </c>
      <c r="AL3" s="9"/>
      <c r="AM3" s="14" t="s">
        <v>88</v>
      </c>
      <c r="AN3" s="104" t="e">
        <f>(J3/$J$5)*100</f>
        <v>#DIV/0!</v>
      </c>
      <c r="AO3" s="104" t="e">
        <f>(J4/$J$5)*100</f>
        <v>#DIV/0!</v>
      </c>
      <c r="AP3" s="105" t="e">
        <f t="shared" ref="AP3:AP29" si="1">REPT("I",AN3/1)&amp;" "&amp;TEXT(AN3," 0.0")&amp;"%"</f>
        <v>#DIV/0!</v>
      </c>
      <c r="AQ3" s="12"/>
    </row>
    <row r="4" spans="1:43" ht="15" customHeight="1" x14ac:dyDescent="0.25">
      <c r="A4" s="15" t="s">
        <v>57</v>
      </c>
      <c r="B4" s="89">
        <f>B5-B3</f>
        <v>0</v>
      </c>
      <c r="C4" s="89">
        <f t="shared" ref="C4:AE4" si="2">C5-C3</f>
        <v>0</v>
      </c>
      <c r="D4" s="89">
        <f t="shared" si="2"/>
        <v>0</v>
      </c>
      <c r="E4" s="89">
        <f t="shared" si="2"/>
        <v>0</v>
      </c>
      <c r="F4" s="89">
        <f t="shared" si="2"/>
        <v>0</v>
      </c>
      <c r="G4" s="89">
        <f t="shared" si="2"/>
        <v>0</v>
      </c>
      <c r="H4" s="89">
        <f t="shared" si="2"/>
        <v>0</v>
      </c>
      <c r="I4" s="89">
        <f t="shared" si="2"/>
        <v>0</v>
      </c>
      <c r="J4" s="89">
        <f t="shared" si="2"/>
        <v>0</v>
      </c>
      <c r="K4" s="89">
        <f t="shared" si="2"/>
        <v>0</v>
      </c>
      <c r="L4" s="89">
        <f t="shared" si="2"/>
        <v>0</v>
      </c>
      <c r="M4" s="89">
        <f t="shared" si="2"/>
        <v>0</v>
      </c>
      <c r="N4" s="89">
        <f t="shared" si="2"/>
        <v>0</v>
      </c>
      <c r="O4" s="89">
        <f t="shared" si="2"/>
        <v>0</v>
      </c>
      <c r="P4" s="89">
        <f t="shared" si="2"/>
        <v>0</v>
      </c>
      <c r="Q4" s="89">
        <f t="shared" si="2"/>
        <v>0</v>
      </c>
      <c r="R4" s="89">
        <f t="shared" si="2"/>
        <v>0</v>
      </c>
      <c r="S4" s="89">
        <f t="shared" si="2"/>
        <v>0</v>
      </c>
      <c r="T4" s="89">
        <f t="shared" si="2"/>
        <v>0</v>
      </c>
      <c r="U4" s="89">
        <f t="shared" si="2"/>
        <v>0</v>
      </c>
      <c r="V4" s="89">
        <f t="shared" si="2"/>
        <v>0</v>
      </c>
      <c r="W4" s="89">
        <f t="shared" si="2"/>
        <v>0</v>
      </c>
      <c r="X4" s="89">
        <f t="shared" si="2"/>
        <v>0</v>
      </c>
      <c r="Y4" s="89">
        <f t="shared" si="2"/>
        <v>0</v>
      </c>
      <c r="Z4" s="89">
        <f t="shared" si="2"/>
        <v>0</v>
      </c>
      <c r="AA4" s="89">
        <f t="shared" si="2"/>
        <v>0</v>
      </c>
      <c r="AB4" s="89">
        <f t="shared" si="2"/>
        <v>0</v>
      </c>
      <c r="AC4" s="89">
        <f t="shared" si="2"/>
        <v>0</v>
      </c>
      <c r="AD4" s="89">
        <f t="shared" si="2"/>
        <v>0</v>
      </c>
      <c r="AE4" s="90">
        <f t="shared" si="2"/>
        <v>0</v>
      </c>
      <c r="AF4" s="9"/>
      <c r="AG4" s="158" t="s">
        <v>58</v>
      </c>
      <c r="AH4" s="159"/>
      <c r="AI4" s="97" t="e">
        <f>((J3+K3+L3+O3+R3+U3+X3+AB3)/($J$5+$K$5+$L$5+$O$5+$R$5+$U$5+$X$5+$AB$5))*100</f>
        <v>#DIV/0!</v>
      </c>
      <c r="AJ4" s="100" t="e">
        <f>((J4+K4+L4+O4+R4+U4+X4+AB4)/($J$5+$K$5+$L$5+$O$5+$R$5+$U$5+$X$5+$AB$5))*100</f>
        <v>#DIV/0!</v>
      </c>
      <c r="AK4" s="99" t="e">
        <f t="shared" si="0"/>
        <v>#DIV/0!</v>
      </c>
      <c r="AL4" s="9"/>
      <c r="AM4" s="14" t="s">
        <v>89</v>
      </c>
      <c r="AN4" s="104" t="e">
        <f>(AC3/$AC$5)*100</f>
        <v>#DIV/0!</v>
      </c>
      <c r="AO4" s="104" t="e">
        <f>(AC4/$AC$5)*100</f>
        <v>#DIV/0!</v>
      </c>
      <c r="AP4" s="105" t="e">
        <f t="shared" si="1"/>
        <v>#DIV/0!</v>
      </c>
      <c r="AQ4" s="12"/>
    </row>
    <row r="5" spans="1:43" ht="15" customHeight="1" x14ac:dyDescent="0.25">
      <c r="A5" s="17" t="s">
        <v>41</v>
      </c>
      <c r="B5" s="89">
        <f>SUBTOTAL(3,'Español por escuela'!$D3:$D402)</f>
        <v>0</v>
      </c>
      <c r="C5" s="89">
        <f>SUBTOTAL(3,'Español por escuela'!$D3:$D402)</f>
        <v>0</v>
      </c>
      <c r="D5" s="89">
        <f>SUBTOTAL(3,'Español por escuela'!$D3:$D402)</f>
        <v>0</v>
      </c>
      <c r="E5" s="89">
        <f>SUBTOTAL(3,'Español por escuela'!$D3:$D402)</f>
        <v>0</v>
      </c>
      <c r="F5" s="89">
        <f>SUBTOTAL(3,'Español por escuela'!$D3:$D402)</f>
        <v>0</v>
      </c>
      <c r="G5" s="89">
        <f>SUBTOTAL(3,'Español por escuela'!$D3:$D402)</f>
        <v>0</v>
      </c>
      <c r="H5" s="89">
        <f>SUBTOTAL(3,'Español por escuela'!$D3:$D402)</f>
        <v>0</v>
      </c>
      <c r="I5" s="89">
        <f>SUBTOTAL(3,'Español por escuela'!$D3:$D402)</f>
        <v>0</v>
      </c>
      <c r="J5" s="89">
        <f>SUBTOTAL(3,'Español por escuela'!$D3:$D402)</f>
        <v>0</v>
      </c>
      <c r="K5" s="89">
        <f>SUBTOTAL(3,'Español por escuela'!$D3:$D402)</f>
        <v>0</v>
      </c>
      <c r="L5" s="89">
        <f>SUBTOTAL(3,'Español por escuela'!$D3:$D402)</f>
        <v>0</v>
      </c>
      <c r="M5" s="89">
        <f>SUBTOTAL(3,'Español por escuela'!$D3:$D402)</f>
        <v>0</v>
      </c>
      <c r="N5" s="89">
        <f>SUBTOTAL(3,'Español por escuela'!$D3:$D402)</f>
        <v>0</v>
      </c>
      <c r="O5" s="89">
        <f>SUBTOTAL(3,'Español por escuela'!$D3:$D402)</f>
        <v>0</v>
      </c>
      <c r="P5" s="89">
        <f>SUBTOTAL(3,'Español por escuela'!$D3:$D402)</f>
        <v>0</v>
      </c>
      <c r="Q5" s="89">
        <f>SUBTOTAL(3,'Español por escuela'!$D3:$D402)</f>
        <v>0</v>
      </c>
      <c r="R5" s="89">
        <f>SUBTOTAL(3,'Español por escuela'!$D3:$D402)</f>
        <v>0</v>
      </c>
      <c r="S5" s="89">
        <f>SUBTOTAL(3,'Español por escuela'!$D3:$D402)</f>
        <v>0</v>
      </c>
      <c r="T5" s="89">
        <f>SUBTOTAL(3,'Español por escuela'!$D3:$D402)</f>
        <v>0</v>
      </c>
      <c r="U5" s="89">
        <f>SUBTOTAL(3,'Español por escuela'!$D3:$D402)</f>
        <v>0</v>
      </c>
      <c r="V5" s="89">
        <f>SUBTOTAL(3,'Español por escuela'!$D3:$D402)</f>
        <v>0</v>
      </c>
      <c r="W5" s="89">
        <f>SUBTOTAL(3,'Español por escuela'!$D3:$D402)</f>
        <v>0</v>
      </c>
      <c r="X5" s="89">
        <f>SUBTOTAL(3,'Español por escuela'!$D3:$D402)</f>
        <v>0</v>
      </c>
      <c r="Y5" s="89">
        <f>SUBTOTAL(3,'Español por escuela'!$D3:$D402)</f>
        <v>0</v>
      </c>
      <c r="Z5" s="89">
        <f>SUBTOTAL(3,'Español por escuela'!$D3:$D402)</f>
        <v>0</v>
      </c>
      <c r="AA5" s="89">
        <f>SUBTOTAL(3,'Español por escuela'!$D3:$D402)</f>
        <v>0</v>
      </c>
      <c r="AB5" s="89">
        <f>SUBTOTAL(3,'Español por escuela'!$D3:$D402)</f>
        <v>0</v>
      </c>
      <c r="AC5" s="89">
        <f>SUBTOTAL(3,'Español por escuela'!$D3:$D402)</f>
        <v>0</v>
      </c>
      <c r="AD5" s="89">
        <f>SUBTOTAL(3,'Español por escuela'!$D3:$D402)</f>
        <v>0</v>
      </c>
      <c r="AE5" s="90">
        <f>SUBTOTAL(3,'Español por escuela'!$D3:$D402)</f>
        <v>0</v>
      </c>
      <c r="AF5" s="9"/>
      <c r="AG5" s="141" t="s">
        <v>59</v>
      </c>
      <c r="AH5" s="142"/>
      <c r="AI5" s="97" t="e">
        <f>((C3+F3+G3+H3+N3+P3+AE3)/($C$5+$F$5+$G$5+$H$5+$N$5+$P$5+$AE$5))*100</f>
        <v>#DIV/0!</v>
      </c>
      <c r="AJ5" s="100" t="e">
        <f>((C4+F4+G4+H4+N4+P4+AE4)/($C$5+$F$5+$G$5+$H$5+$N$5+$P$5+$AE$5))*100</f>
        <v>#DIV/0!</v>
      </c>
      <c r="AK5" s="99" t="e">
        <f t="shared" si="0"/>
        <v>#DIV/0!</v>
      </c>
      <c r="AL5" s="9"/>
      <c r="AM5" s="14" t="s">
        <v>90</v>
      </c>
      <c r="AN5" s="104" t="e">
        <f>(M3/$M$5)*100</f>
        <v>#DIV/0!</v>
      </c>
      <c r="AO5" s="104" t="e">
        <f>(M4/$M$5)*100</f>
        <v>#DIV/0!</v>
      </c>
      <c r="AP5" s="105" t="e">
        <f t="shared" si="1"/>
        <v>#DIV/0!</v>
      </c>
      <c r="AQ5" s="12"/>
    </row>
    <row r="6" spans="1:43" ht="15" customHeight="1" x14ac:dyDescent="0.25">
      <c r="A6" s="15" t="s">
        <v>50</v>
      </c>
      <c r="B6" s="91" t="e">
        <f t="shared" ref="B6:AE7" si="3">(B3/B$5)*100</f>
        <v>#DIV/0!</v>
      </c>
      <c r="C6" s="91" t="e">
        <f t="shared" si="3"/>
        <v>#DIV/0!</v>
      </c>
      <c r="D6" s="91" t="e">
        <f t="shared" si="3"/>
        <v>#DIV/0!</v>
      </c>
      <c r="E6" s="91" t="e">
        <f t="shared" si="3"/>
        <v>#DIV/0!</v>
      </c>
      <c r="F6" s="91" t="e">
        <f t="shared" si="3"/>
        <v>#DIV/0!</v>
      </c>
      <c r="G6" s="91" t="e">
        <f t="shared" si="3"/>
        <v>#DIV/0!</v>
      </c>
      <c r="H6" s="91" t="e">
        <f t="shared" si="3"/>
        <v>#DIV/0!</v>
      </c>
      <c r="I6" s="91" t="e">
        <f t="shared" si="3"/>
        <v>#DIV/0!</v>
      </c>
      <c r="J6" s="91" t="e">
        <f t="shared" si="3"/>
        <v>#DIV/0!</v>
      </c>
      <c r="K6" s="91" t="e">
        <f t="shared" si="3"/>
        <v>#DIV/0!</v>
      </c>
      <c r="L6" s="91" t="e">
        <f t="shared" si="3"/>
        <v>#DIV/0!</v>
      </c>
      <c r="M6" s="91" t="e">
        <f t="shared" si="3"/>
        <v>#DIV/0!</v>
      </c>
      <c r="N6" s="91" t="e">
        <f t="shared" si="3"/>
        <v>#DIV/0!</v>
      </c>
      <c r="O6" s="91" t="e">
        <f t="shared" si="3"/>
        <v>#DIV/0!</v>
      </c>
      <c r="P6" s="91" t="e">
        <f t="shared" si="3"/>
        <v>#DIV/0!</v>
      </c>
      <c r="Q6" s="91" t="e">
        <f t="shared" si="3"/>
        <v>#DIV/0!</v>
      </c>
      <c r="R6" s="91" t="e">
        <f t="shared" si="3"/>
        <v>#DIV/0!</v>
      </c>
      <c r="S6" s="91" t="e">
        <f t="shared" si="3"/>
        <v>#DIV/0!</v>
      </c>
      <c r="T6" s="91" t="e">
        <f t="shared" si="3"/>
        <v>#DIV/0!</v>
      </c>
      <c r="U6" s="91" t="e">
        <f t="shared" si="3"/>
        <v>#DIV/0!</v>
      </c>
      <c r="V6" s="91" t="e">
        <f t="shared" si="3"/>
        <v>#DIV/0!</v>
      </c>
      <c r="W6" s="91" t="e">
        <f t="shared" si="3"/>
        <v>#DIV/0!</v>
      </c>
      <c r="X6" s="91" t="e">
        <f t="shared" si="3"/>
        <v>#DIV/0!</v>
      </c>
      <c r="Y6" s="91" t="e">
        <f t="shared" si="3"/>
        <v>#DIV/0!</v>
      </c>
      <c r="Z6" s="91" t="e">
        <f t="shared" si="3"/>
        <v>#DIV/0!</v>
      </c>
      <c r="AA6" s="91" t="e">
        <f t="shared" si="3"/>
        <v>#DIV/0!</v>
      </c>
      <c r="AB6" s="91" t="e">
        <f t="shared" si="3"/>
        <v>#DIV/0!</v>
      </c>
      <c r="AC6" s="91" t="e">
        <f t="shared" si="3"/>
        <v>#DIV/0!</v>
      </c>
      <c r="AD6" s="91" t="e">
        <f t="shared" si="3"/>
        <v>#DIV/0!</v>
      </c>
      <c r="AE6" s="92" t="e">
        <f t="shared" si="3"/>
        <v>#DIV/0!</v>
      </c>
      <c r="AF6" s="9"/>
      <c r="AG6" s="143" t="s">
        <v>91</v>
      </c>
      <c r="AH6" s="144"/>
      <c r="AI6" s="97" t="e">
        <f>((S3+AA3)/($S$5+$AA$5))*100</f>
        <v>#DIV/0!</v>
      </c>
      <c r="AJ6" s="100" t="e">
        <f>((S4+AA4)/($S$5+$AA$5))*100</f>
        <v>#DIV/0!</v>
      </c>
      <c r="AK6" s="99" t="e">
        <f t="shared" si="0"/>
        <v>#DIV/0!</v>
      </c>
      <c r="AL6" s="9"/>
      <c r="AM6" s="14" t="s">
        <v>92</v>
      </c>
      <c r="AN6" s="104" t="e">
        <f>(AD3/$AD$5)*100</f>
        <v>#DIV/0!</v>
      </c>
      <c r="AO6" s="104" t="e">
        <f>(AD4/$AD$5)*100</f>
        <v>#DIV/0!</v>
      </c>
      <c r="AP6" s="105" t="e">
        <f t="shared" si="1"/>
        <v>#DIV/0!</v>
      </c>
      <c r="AQ6" s="12"/>
    </row>
    <row r="7" spans="1:43" ht="15" customHeight="1" thickBot="1" x14ac:dyDescent="0.3">
      <c r="A7" s="15" t="s">
        <v>51</v>
      </c>
      <c r="B7" s="93" t="e">
        <f t="shared" si="3"/>
        <v>#DIV/0!</v>
      </c>
      <c r="C7" s="93" t="e">
        <f t="shared" si="3"/>
        <v>#DIV/0!</v>
      </c>
      <c r="D7" s="93" t="e">
        <f t="shared" si="3"/>
        <v>#DIV/0!</v>
      </c>
      <c r="E7" s="93" t="e">
        <f t="shared" si="3"/>
        <v>#DIV/0!</v>
      </c>
      <c r="F7" s="93" t="e">
        <f t="shared" si="3"/>
        <v>#DIV/0!</v>
      </c>
      <c r="G7" s="93" t="e">
        <f t="shared" si="3"/>
        <v>#DIV/0!</v>
      </c>
      <c r="H7" s="93" t="e">
        <f t="shared" si="3"/>
        <v>#DIV/0!</v>
      </c>
      <c r="I7" s="93" t="e">
        <f t="shared" si="3"/>
        <v>#DIV/0!</v>
      </c>
      <c r="J7" s="93" t="e">
        <f t="shared" si="3"/>
        <v>#DIV/0!</v>
      </c>
      <c r="K7" s="93" t="e">
        <f t="shared" si="3"/>
        <v>#DIV/0!</v>
      </c>
      <c r="L7" s="93" t="e">
        <f t="shared" si="3"/>
        <v>#DIV/0!</v>
      </c>
      <c r="M7" s="93" t="e">
        <f t="shared" si="3"/>
        <v>#DIV/0!</v>
      </c>
      <c r="N7" s="93" t="e">
        <f t="shared" si="3"/>
        <v>#DIV/0!</v>
      </c>
      <c r="O7" s="93" t="e">
        <f t="shared" si="3"/>
        <v>#DIV/0!</v>
      </c>
      <c r="P7" s="93" t="e">
        <f t="shared" si="3"/>
        <v>#DIV/0!</v>
      </c>
      <c r="Q7" s="93" t="e">
        <f t="shared" si="3"/>
        <v>#DIV/0!</v>
      </c>
      <c r="R7" s="93" t="e">
        <f t="shared" si="3"/>
        <v>#DIV/0!</v>
      </c>
      <c r="S7" s="93" t="e">
        <f t="shared" si="3"/>
        <v>#DIV/0!</v>
      </c>
      <c r="T7" s="93" t="e">
        <f t="shared" si="3"/>
        <v>#DIV/0!</v>
      </c>
      <c r="U7" s="93" t="e">
        <f t="shared" si="3"/>
        <v>#DIV/0!</v>
      </c>
      <c r="V7" s="93" t="e">
        <f t="shared" si="3"/>
        <v>#DIV/0!</v>
      </c>
      <c r="W7" s="93" t="e">
        <f t="shared" si="3"/>
        <v>#DIV/0!</v>
      </c>
      <c r="X7" s="93" t="e">
        <f t="shared" si="3"/>
        <v>#DIV/0!</v>
      </c>
      <c r="Y7" s="93" t="e">
        <f t="shared" si="3"/>
        <v>#DIV/0!</v>
      </c>
      <c r="Z7" s="93" t="e">
        <f t="shared" si="3"/>
        <v>#DIV/0!</v>
      </c>
      <c r="AA7" s="93" t="e">
        <f t="shared" si="3"/>
        <v>#DIV/0!</v>
      </c>
      <c r="AB7" s="93" t="e">
        <f t="shared" si="3"/>
        <v>#DIV/0!</v>
      </c>
      <c r="AC7" s="93" t="e">
        <f t="shared" si="3"/>
        <v>#DIV/0!</v>
      </c>
      <c r="AD7" s="93" t="e">
        <f t="shared" si="3"/>
        <v>#DIV/0!</v>
      </c>
      <c r="AE7" s="94" t="e">
        <f t="shared" si="3"/>
        <v>#DIV/0!</v>
      </c>
      <c r="AF7" s="18"/>
      <c r="AG7" s="145" t="s">
        <v>93</v>
      </c>
      <c r="AH7" s="146"/>
      <c r="AI7" s="101" t="e">
        <f>((M3+AC3+AD3)/($M$5+$AC$5+$AD$5))*100</f>
        <v>#DIV/0!</v>
      </c>
      <c r="AJ7" s="102" t="e">
        <f>((M4+AC4+AD4)/($M$5+$AC$5+$AD$5))*100</f>
        <v>#DIV/0!</v>
      </c>
      <c r="AK7" s="103" t="e">
        <f t="shared" si="0"/>
        <v>#DIV/0!</v>
      </c>
      <c r="AL7" s="9"/>
      <c r="AM7" s="14" t="s">
        <v>94</v>
      </c>
      <c r="AN7" s="104" t="e">
        <f>(Q3/$Q$5)*100</f>
        <v>#DIV/0!</v>
      </c>
      <c r="AO7" s="104" t="e">
        <f>(Q4/$Q$5)*100</f>
        <v>#DIV/0!</v>
      </c>
      <c r="AP7" s="105" t="e">
        <f t="shared" si="1"/>
        <v>#DIV/0!</v>
      </c>
      <c r="AQ7" s="12"/>
    </row>
    <row r="8" spans="1:43" ht="15" customHeight="1" thickBot="1" x14ac:dyDescent="0.3">
      <c r="A8" s="22" t="s">
        <v>60</v>
      </c>
      <c r="B8" s="95" t="e">
        <f t="shared" ref="B8:AE8" si="4">SUM(B6:B7)</f>
        <v>#DIV/0!</v>
      </c>
      <c r="C8" s="95" t="e">
        <f t="shared" si="4"/>
        <v>#DIV/0!</v>
      </c>
      <c r="D8" s="95" t="e">
        <f t="shared" si="4"/>
        <v>#DIV/0!</v>
      </c>
      <c r="E8" s="95" t="e">
        <f t="shared" si="4"/>
        <v>#DIV/0!</v>
      </c>
      <c r="F8" s="95" t="e">
        <f t="shared" si="4"/>
        <v>#DIV/0!</v>
      </c>
      <c r="G8" s="95" t="e">
        <f t="shared" si="4"/>
        <v>#DIV/0!</v>
      </c>
      <c r="H8" s="95" t="e">
        <f t="shared" si="4"/>
        <v>#DIV/0!</v>
      </c>
      <c r="I8" s="95" t="e">
        <f t="shared" si="4"/>
        <v>#DIV/0!</v>
      </c>
      <c r="J8" s="95" t="e">
        <f t="shared" si="4"/>
        <v>#DIV/0!</v>
      </c>
      <c r="K8" s="95" t="e">
        <f t="shared" si="4"/>
        <v>#DIV/0!</v>
      </c>
      <c r="L8" s="95" t="e">
        <f t="shared" si="4"/>
        <v>#DIV/0!</v>
      </c>
      <c r="M8" s="95" t="e">
        <f t="shared" si="4"/>
        <v>#DIV/0!</v>
      </c>
      <c r="N8" s="95" t="e">
        <f t="shared" si="4"/>
        <v>#DIV/0!</v>
      </c>
      <c r="O8" s="95" t="e">
        <f t="shared" si="4"/>
        <v>#DIV/0!</v>
      </c>
      <c r="P8" s="95" t="e">
        <f t="shared" si="4"/>
        <v>#DIV/0!</v>
      </c>
      <c r="Q8" s="95" t="e">
        <f t="shared" si="4"/>
        <v>#DIV/0!</v>
      </c>
      <c r="R8" s="95" t="e">
        <f t="shared" si="4"/>
        <v>#DIV/0!</v>
      </c>
      <c r="S8" s="95" t="e">
        <f t="shared" si="4"/>
        <v>#DIV/0!</v>
      </c>
      <c r="T8" s="95" t="e">
        <f t="shared" si="4"/>
        <v>#DIV/0!</v>
      </c>
      <c r="U8" s="95" t="e">
        <f t="shared" si="4"/>
        <v>#DIV/0!</v>
      </c>
      <c r="V8" s="95" t="e">
        <f t="shared" si="4"/>
        <v>#DIV/0!</v>
      </c>
      <c r="W8" s="95" t="e">
        <f t="shared" si="4"/>
        <v>#DIV/0!</v>
      </c>
      <c r="X8" s="95" t="e">
        <f t="shared" si="4"/>
        <v>#DIV/0!</v>
      </c>
      <c r="Y8" s="95" t="e">
        <f t="shared" si="4"/>
        <v>#DIV/0!</v>
      </c>
      <c r="Z8" s="95" t="e">
        <f t="shared" si="4"/>
        <v>#DIV/0!</v>
      </c>
      <c r="AA8" s="95" t="e">
        <f t="shared" si="4"/>
        <v>#DIV/0!</v>
      </c>
      <c r="AB8" s="95" t="e">
        <f t="shared" si="4"/>
        <v>#DIV/0!</v>
      </c>
      <c r="AC8" s="95" t="e">
        <f t="shared" si="4"/>
        <v>#DIV/0!</v>
      </c>
      <c r="AD8" s="95" t="e">
        <f t="shared" si="4"/>
        <v>#DIV/0!</v>
      </c>
      <c r="AE8" s="96" t="e">
        <f t="shared" si="4"/>
        <v>#DIV/0!</v>
      </c>
      <c r="AF8" s="9"/>
      <c r="AG8" s="16"/>
      <c r="AH8" s="19"/>
      <c r="AI8" s="20"/>
      <c r="AJ8" s="20"/>
      <c r="AK8" s="20"/>
      <c r="AL8" s="9"/>
      <c r="AM8" s="14" t="s">
        <v>95</v>
      </c>
      <c r="AN8" s="104" t="e">
        <f>(V3/$V$5)*100</f>
        <v>#DIV/0!</v>
      </c>
      <c r="AO8" s="104" t="e">
        <f>(V4/$V$5)*100</f>
        <v>#DIV/0!</v>
      </c>
      <c r="AP8" s="105" t="e">
        <f t="shared" si="1"/>
        <v>#DIV/0!</v>
      </c>
      <c r="AQ8" s="12"/>
    </row>
    <row r="9" spans="1:43" ht="15.75" customHeight="1" x14ac:dyDescent="0.25">
      <c r="A9" s="16"/>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12"/>
      <c r="AH9" s="23"/>
      <c r="AL9" s="21"/>
      <c r="AM9" s="14" t="s">
        <v>96</v>
      </c>
      <c r="AN9" s="104" t="e">
        <f>(P3/$P$5)*100</f>
        <v>#DIV/0!</v>
      </c>
      <c r="AO9" s="104" t="e">
        <f>(P4/$P$5)*100</f>
        <v>#DIV/0!</v>
      </c>
      <c r="AP9" s="105" t="e">
        <f t="shared" si="1"/>
        <v>#DIV/0!</v>
      </c>
      <c r="AQ9" s="12"/>
    </row>
    <row r="10" spans="1:43" x14ac:dyDescent="0.25">
      <c r="AF10" s="12"/>
      <c r="AH10" s="23"/>
      <c r="AM10" s="14" t="s">
        <v>97</v>
      </c>
      <c r="AN10" s="104" t="e">
        <f>(Y3/$Y$5)*100</f>
        <v>#DIV/0!</v>
      </c>
      <c r="AO10" s="104" t="e">
        <f>(Y4/$Y$5)*100</f>
        <v>#DIV/0!</v>
      </c>
      <c r="AP10" s="105" t="e">
        <f t="shared" si="1"/>
        <v>#DIV/0!</v>
      </c>
      <c r="AQ10" s="12"/>
    </row>
    <row r="11" spans="1:43" x14ac:dyDescent="0.25">
      <c r="AH11" s="23"/>
      <c r="AM11" s="14" t="s">
        <v>98</v>
      </c>
      <c r="AN11" s="104" t="e">
        <f>(T3/$T$5)*100</f>
        <v>#DIV/0!</v>
      </c>
      <c r="AO11" s="104" t="e">
        <f>(T4/$T$5)*100</f>
        <v>#DIV/0!</v>
      </c>
      <c r="AP11" s="105" t="e">
        <f t="shared" si="1"/>
        <v>#DIV/0!</v>
      </c>
      <c r="AQ11" s="12"/>
    </row>
    <row r="12" spans="1:43" x14ac:dyDescent="0.25">
      <c r="AH12" s="23"/>
      <c r="AM12" s="14" t="s">
        <v>99</v>
      </c>
      <c r="AN12" s="104" t="e">
        <f>((W3+Z3)/($W$5+$Z$5))*100</f>
        <v>#DIV/0!</v>
      </c>
      <c r="AO12" s="104" t="e">
        <f>((W4+Z4)/($W$5+$Z$5))*100</f>
        <v>#DIV/0!</v>
      </c>
      <c r="AP12" s="105" t="e">
        <f t="shared" si="1"/>
        <v>#DIV/0!</v>
      </c>
      <c r="AQ12" s="12"/>
    </row>
    <row r="13" spans="1:43" x14ac:dyDescent="0.25">
      <c r="AH13" s="23"/>
      <c r="AM13" s="14" t="s">
        <v>100</v>
      </c>
      <c r="AN13" s="104" t="e">
        <f>(AB3/$AB$5)*100</f>
        <v>#DIV/0!</v>
      </c>
      <c r="AO13" s="104" t="e">
        <f>(AB4/$AB$5)*100</f>
        <v>#DIV/0!</v>
      </c>
      <c r="AP13" s="105" t="e">
        <f t="shared" si="1"/>
        <v>#DIV/0!</v>
      </c>
      <c r="AQ13" s="12"/>
    </row>
    <row r="14" spans="1:43" x14ac:dyDescent="0.25">
      <c r="AH14" s="23"/>
      <c r="AM14" s="14" t="s">
        <v>101</v>
      </c>
      <c r="AN14" s="104" t="e">
        <f>(F3/$F$5)*100</f>
        <v>#DIV/0!</v>
      </c>
      <c r="AO14" s="104" t="e">
        <f>(F4/$F$5)*100</f>
        <v>#DIV/0!</v>
      </c>
      <c r="AP14" s="105" t="e">
        <f t="shared" si="1"/>
        <v>#DIV/0!</v>
      </c>
      <c r="AQ14" s="12"/>
    </row>
    <row r="15" spans="1:43" x14ac:dyDescent="0.25">
      <c r="AH15" s="23"/>
      <c r="AM15" s="14" t="s">
        <v>102</v>
      </c>
      <c r="AN15" s="104" t="e">
        <f>(AE3/$AE$5)*100</f>
        <v>#DIV/0!</v>
      </c>
      <c r="AO15" s="104" t="e">
        <f>(AE4/$AE$5)*100</f>
        <v>#DIV/0!</v>
      </c>
      <c r="AP15" s="105" t="e">
        <f t="shared" si="1"/>
        <v>#DIV/0!</v>
      </c>
      <c r="AQ15" s="12"/>
    </row>
    <row r="16" spans="1:43" x14ac:dyDescent="0.25">
      <c r="AH16" s="23"/>
      <c r="AM16" s="14" t="s">
        <v>103</v>
      </c>
      <c r="AN16" s="104" t="e">
        <f>(I3/$I$5)*100</f>
        <v>#DIV/0!</v>
      </c>
      <c r="AO16" s="104" t="e">
        <f>(I4/$I$5)*100</f>
        <v>#DIV/0!</v>
      </c>
      <c r="AP16" s="105" t="e">
        <f t="shared" si="1"/>
        <v>#DIV/0!</v>
      </c>
      <c r="AQ16" s="12"/>
    </row>
    <row r="17" spans="34:43" x14ac:dyDescent="0.25">
      <c r="AH17" s="23"/>
      <c r="AM17" s="14" t="s">
        <v>104</v>
      </c>
      <c r="AN17" s="104" t="e">
        <f>(K3/$K$5)*100</f>
        <v>#DIV/0!</v>
      </c>
      <c r="AO17" s="104" t="e">
        <f>(K4/$K$5)*100</f>
        <v>#DIV/0!</v>
      </c>
      <c r="AP17" s="105" t="e">
        <f t="shared" si="1"/>
        <v>#DIV/0!</v>
      </c>
      <c r="AQ17" s="12"/>
    </row>
    <row r="18" spans="34:43" x14ac:dyDescent="0.25">
      <c r="AH18" s="23"/>
      <c r="AM18" s="14" t="s">
        <v>105</v>
      </c>
      <c r="AN18" s="104" t="e">
        <f>((U3+X3)/($U$5+$X$5))*100</f>
        <v>#DIV/0!</v>
      </c>
      <c r="AO18" s="104" t="e">
        <f>((U4+X4)/($U$5+$X$5))*100</f>
        <v>#DIV/0!</v>
      </c>
      <c r="AP18" s="105" t="e">
        <f t="shared" si="1"/>
        <v>#DIV/0!</v>
      </c>
      <c r="AQ18" s="12"/>
    </row>
    <row r="19" spans="34:43" x14ac:dyDescent="0.25">
      <c r="AH19" s="23"/>
      <c r="AM19" s="14" t="s">
        <v>106</v>
      </c>
      <c r="AN19" s="104" t="e">
        <f>(AA3/$AA$5)*100</f>
        <v>#DIV/0!</v>
      </c>
      <c r="AO19" s="104" t="e">
        <f>(AA4/$AA$5)*100</f>
        <v>#DIV/0!</v>
      </c>
      <c r="AP19" s="105" t="e">
        <f t="shared" si="1"/>
        <v>#DIV/0!</v>
      </c>
      <c r="AQ19" s="12"/>
    </row>
    <row r="20" spans="34:43" x14ac:dyDescent="0.25">
      <c r="AH20" s="23"/>
      <c r="AM20" s="14" t="s">
        <v>107</v>
      </c>
      <c r="AN20" s="104" t="e">
        <f>(S3/$S$5)*100</f>
        <v>#DIV/0!</v>
      </c>
      <c r="AO20" s="104" t="e">
        <f>(S4/$S$5)*100</f>
        <v>#DIV/0!</v>
      </c>
      <c r="AP20" s="105" t="e">
        <f t="shared" si="1"/>
        <v>#DIV/0!</v>
      </c>
      <c r="AQ20" s="12"/>
    </row>
    <row r="21" spans="34:43" x14ac:dyDescent="0.25">
      <c r="AH21" s="23"/>
      <c r="AM21" s="14" t="s">
        <v>108</v>
      </c>
      <c r="AN21" s="104" t="e">
        <f>(D3/$D$5)*100</f>
        <v>#DIV/0!</v>
      </c>
      <c r="AO21" s="104" t="e">
        <f>(D4/$D$5)*100</f>
        <v>#DIV/0!</v>
      </c>
      <c r="AP21" s="105" t="e">
        <f t="shared" si="1"/>
        <v>#DIV/0!</v>
      </c>
      <c r="AQ21" s="12"/>
    </row>
    <row r="22" spans="34:43" ht="15.75" customHeight="1" x14ac:dyDescent="0.25">
      <c r="AH22" s="23"/>
      <c r="AM22" s="14" t="s">
        <v>109</v>
      </c>
      <c r="AN22" s="104" t="e">
        <f>(L3/$L$5)*100</f>
        <v>#DIV/0!</v>
      </c>
      <c r="AO22" s="104" t="e">
        <f>(L4/$L$5)*100</f>
        <v>#DIV/0!</v>
      </c>
      <c r="AP22" s="105" t="e">
        <f t="shared" si="1"/>
        <v>#DIV/0!</v>
      </c>
      <c r="AQ22" s="12"/>
    </row>
    <row r="23" spans="34:43" ht="15" customHeight="1" x14ac:dyDescent="0.25">
      <c r="AH23" s="23"/>
      <c r="AM23" s="14" t="s">
        <v>110</v>
      </c>
      <c r="AN23" s="104" t="e">
        <f>(H3/$H$5)*100</f>
        <v>#DIV/0!</v>
      </c>
      <c r="AO23" s="104" t="e">
        <f>(H4/$H$5)*100</f>
        <v>#DIV/0!</v>
      </c>
      <c r="AP23" s="105" t="e">
        <f t="shared" si="1"/>
        <v>#DIV/0!</v>
      </c>
      <c r="AQ23" s="12"/>
    </row>
    <row r="24" spans="34:43" ht="15" customHeight="1" x14ac:dyDescent="0.25">
      <c r="AH24" s="23"/>
      <c r="AM24" s="14" t="s">
        <v>111</v>
      </c>
      <c r="AN24" s="104" t="e">
        <f>(B3/$B$5)*100</f>
        <v>#DIV/0!</v>
      </c>
      <c r="AO24" s="104" t="e">
        <f>(B4/$B$5)*100</f>
        <v>#DIV/0!</v>
      </c>
      <c r="AP24" s="105" t="e">
        <f t="shared" si="1"/>
        <v>#DIV/0!</v>
      </c>
      <c r="AQ24" s="12"/>
    </row>
    <row r="25" spans="34:43" ht="15" customHeight="1" x14ac:dyDescent="0.25">
      <c r="AH25" s="23"/>
      <c r="AM25" s="14" t="s">
        <v>112</v>
      </c>
      <c r="AN25" s="104" t="e">
        <f>(C3/$C$5)*100</f>
        <v>#DIV/0!</v>
      </c>
      <c r="AO25" s="104" t="e">
        <f>(C4/$C$5)*100</f>
        <v>#DIV/0!</v>
      </c>
      <c r="AP25" s="105" t="e">
        <f t="shared" si="1"/>
        <v>#DIV/0!</v>
      </c>
      <c r="AQ25" s="12"/>
    </row>
    <row r="26" spans="34:43" ht="15" customHeight="1" x14ac:dyDescent="0.25">
      <c r="AH26" s="23"/>
      <c r="AM26" s="14" t="s">
        <v>113</v>
      </c>
      <c r="AN26" s="104" t="e">
        <f>(N3/$N$5)*100</f>
        <v>#DIV/0!</v>
      </c>
      <c r="AO26" s="104" t="e">
        <f>(N4/$N$5)*100</f>
        <v>#DIV/0!</v>
      </c>
      <c r="AP26" s="105" t="e">
        <f t="shared" si="1"/>
        <v>#DIV/0!</v>
      </c>
      <c r="AQ26" s="12"/>
    </row>
    <row r="27" spans="34:43" ht="15" customHeight="1" x14ac:dyDescent="0.25">
      <c r="AH27" s="23"/>
      <c r="AM27" s="14" t="s">
        <v>114</v>
      </c>
      <c r="AN27" s="104" t="e">
        <f>(O3/$O$5)*100</f>
        <v>#DIV/0!</v>
      </c>
      <c r="AO27" s="104" t="e">
        <f>(O4/$O$5)*100</f>
        <v>#DIV/0!</v>
      </c>
      <c r="AP27" s="105" t="e">
        <f t="shared" si="1"/>
        <v>#DIV/0!</v>
      </c>
      <c r="AQ27" s="26"/>
    </row>
    <row r="28" spans="34:43" ht="15.75" customHeight="1" x14ac:dyDescent="0.25">
      <c r="AH28" s="23"/>
      <c r="AM28" s="14" t="s">
        <v>115</v>
      </c>
      <c r="AN28" s="104" t="e">
        <f>(R3/$R$5)*100</f>
        <v>#DIV/0!</v>
      </c>
      <c r="AO28" s="104" t="e">
        <f>(R4/$R$5)*100</f>
        <v>#DIV/0!</v>
      </c>
      <c r="AP28" s="105" t="e">
        <f t="shared" si="1"/>
        <v>#DIV/0!</v>
      </c>
      <c r="AQ28" s="12"/>
    </row>
    <row r="29" spans="34:43" ht="15.75" customHeight="1" thickBot="1" x14ac:dyDescent="0.3">
      <c r="AH29" s="23"/>
      <c r="AM29" s="27" t="s">
        <v>116</v>
      </c>
      <c r="AN29" s="106" t="e">
        <f>(G3/$G$5)*100</f>
        <v>#DIV/0!</v>
      </c>
      <c r="AO29" s="106" t="e">
        <f>(G4/$G$5)*100</f>
        <v>#DIV/0!</v>
      </c>
      <c r="AP29" s="107" t="e">
        <f t="shared" si="1"/>
        <v>#DIV/0!</v>
      </c>
      <c r="AQ29" s="12"/>
    </row>
    <row r="30" spans="34:43" x14ac:dyDescent="0.25">
      <c r="AM30" s="16"/>
      <c r="AN30" s="20"/>
      <c r="AO30" s="20"/>
      <c r="AP30" s="16"/>
      <c r="AQ30" s="12"/>
    </row>
    <row r="31" spans="34:43" x14ac:dyDescent="0.25">
      <c r="AQ31" s="12"/>
    </row>
    <row r="32" spans="34:43" x14ac:dyDescent="0.25">
      <c r="AQ32" s="12"/>
    </row>
    <row r="33" spans="43:43" x14ac:dyDescent="0.25">
      <c r="AQ33" s="12"/>
    </row>
    <row r="34" spans="43:43" x14ac:dyDescent="0.25">
      <c r="AQ34" s="12"/>
    </row>
    <row r="35" spans="43:43" x14ac:dyDescent="0.25">
      <c r="AQ35" s="12"/>
    </row>
    <row r="36" spans="43:43" x14ac:dyDescent="0.25">
      <c r="AQ36" s="12"/>
    </row>
    <row r="37" spans="43:43" x14ac:dyDescent="0.25">
      <c r="AQ37" s="12"/>
    </row>
    <row r="38" spans="43:43" x14ac:dyDescent="0.25">
      <c r="AQ38" s="12"/>
    </row>
    <row r="39" spans="43:43" x14ac:dyDescent="0.25">
      <c r="AQ39" s="12"/>
    </row>
    <row r="40" spans="43:43" x14ac:dyDescent="0.25">
      <c r="AQ40" s="12"/>
    </row>
    <row r="41" spans="43:43" x14ac:dyDescent="0.25">
      <c r="AQ41" s="12"/>
    </row>
    <row r="42" spans="43:43" x14ac:dyDescent="0.25">
      <c r="AQ42" s="12"/>
    </row>
    <row r="43" spans="43:43" x14ac:dyDescent="0.25">
      <c r="AQ43" s="12"/>
    </row>
    <row r="44" spans="43:43" x14ac:dyDescent="0.25">
      <c r="AQ44" s="12"/>
    </row>
    <row r="45" spans="43:43" x14ac:dyDescent="0.25">
      <c r="AQ45" s="12"/>
    </row>
  </sheetData>
  <sheetProtection algorithmName="SHA-512" hashValue="HgSSi+zgRXvCoV9e8nVHiAO8eBJCRZsxgdis/nwJ2+3l8MaZrn0L17m9l8AaMRLdEtzP3ln3FkV+WryySbfMhA==" saltValue="tZUXJVQF6mHHPV5r8kpGpw==" spinCount="100000" sheet="1" objects="1" scenarios="1"/>
  <mergeCells count="9">
    <mergeCell ref="AG5:AH5"/>
    <mergeCell ref="AG6:AH6"/>
    <mergeCell ref="AG7:AH7"/>
    <mergeCell ref="A1:A2"/>
    <mergeCell ref="B1:AE1"/>
    <mergeCell ref="AG1:AH1"/>
    <mergeCell ref="AG2:AH2"/>
    <mergeCell ref="AG3:AH3"/>
    <mergeCell ref="AG4:AH4"/>
  </mergeCells>
  <conditionalFormatting sqref="B6:AE6 AI2 AN2">
    <cfRule type="cellIs" dxfId="16" priority="9" operator="lessThan">
      <formula>50</formula>
    </cfRule>
  </conditionalFormatting>
  <conditionalFormatting sqref="AP2:AP29">
    <cfRule type="cellIs" dxfId="15" priority="3" operator="lessThan">
      <formula>50</formula>
    </cfRule>
    <cfRule type="cellIs" dxfId="14" priority="6" operator="lessThan">
      <formula>50</formula>
    </cfRule>
    <cfRule type="cellIs" dxfId="13" priority="8" operator="lessThan">
      <formula>"IIIIIIIIIIIIIIIIIIIIIIIIIIIIIIIIIIIIIIIIIIIIIIIIII"</formula>
    </cfRule>
  </conditionalFormatting>
  <conditionalFormatting sqref="AN2">
    <cfRule type="cellIs" dxfId="12" priority="4" operator="lessThan">
      <formula>50</formula>
    </cfRule>
    <cfRule type="cellIs" dxfId="11" priority="7" operator="lessThan">
      <formula>50</formula>
    </cfRule>
  </conditionalFormatting>
  <conditionalFormatting sqref="B6:AE6">
    <cfRule type="cellIs" dxfId="10" priority="5" operator="lessThan">
      <formula>50</formula>
    </cfRule>
  </conditionalFormatting>
  <conditionalFormatting sqref="AI2:AI7">
    <cfRule type="cellIs" dxfId="9" priority="2" operator="lessThan">
      <formula>50</formula>
    </cfRule>
  </conditionalFormatting>
  <conditionalFormatting sqref="AN2:AN29">
    <cfRule type="cellIs" dxfId="8" priority="1" operator="lessThan">
      <formula>50</formula>
    </cfRule>
  </conditionalFormatting>
  <hyperlinks>
    <hyperlink ref="B6" location="'Especificaciones Español'!A3" display="'Especificaciones Español'!A3"/>
    <hyperlink ref="C6" location="'Especificaciones Español'!A4" display="'Especificaciones Español'!A4"/>
    <hyperlink ref="D6" location="'Especificaciones Español'!A5" display="'Especificaciones Español'!A5"/>
    <hyperlink ref="E6" location="'Especificaciones Español'!A6" display="'Especificaciones Español'!A6"/>
    <hyperlink ref="F6" location="'Especificaciones Español'!A7" display="'Especificaciones Español'!A7"/>
    <hyperlink ref="G6" location="'Especificaciones Español'!A8" display="'Especificaciones Español'!A8"/>
    <hyperlink ref="H6" location="'Especificaciones Español'!A9" display="'Especificaciones Español'!A9"/>
    <hyperlink ref="I6" location="'Especificaciones Español'!A10" display="'Especificaciones Español'!A10"/>
    <hyperlink ref="J6" location="'Especificaciones Español'!A11" display="'Especificaciones Español'!A11"/>
    <hyperlink ref="K6" location="'Especificaciones Español'!A12" display="'Especificaciones Español'!A12"/>
    <hyperlink ref="L6" location="'Especificaciones Español'!A13" display="'Especificaciones Español'!A13"/>
    <hyperlink ref="M6" location="'Especificaciones Español'!A14" display="'Especificaciones Español'!A14"/>
    <hyperlink ref="N6" location="'Especificaciones Español'!A15" display="'Especificaciones Español'!A15"/>
    <hyperlink ref="O6" location="'Especificaciones Español'!A16" display="'Especificaciones Español'!A16"/>
    <hyperlink ref="P6" location="'Especificaciones Español'!A17" display="'Especificaciones Español'!A17"/>
    <hyperlink ref="Q6" location="'Especificaciones Español'!A18" display="'Especificaciones Español'!A18"/>
    <hyperlink ref="R6" location="'Especificaciones Español'!A19" display="'Especificaciones Español'!A19"/>
    <hyperlink ref="S6" location="'Especificaciones Español'!A20" display="'Especificaciones Español'!A20"/>
    <hyperlink ref="T6" location="'Especificaciones Español'!A21" display="'Especificaciones Español'!A21"/>
    <hyperlink ref="U6" location="'Especificaciones Español'!A22" display="'Especificaciones Español'!A22"/>
    <hyperlink ref="V6" location="'Especificaciones Español'!A23" display="'Especificaciones Español'!A23"/>
    <hyperlink ref="W6" location="'Especificaciones Español'!A24" display="'Especificaciones Español'!A24"/>
    <hyperlink ref="X6" location="'Especificaciones Español'!A25" display="'Especificaciones Español'!A25"/>
    <hyperlink ref="Y6" location="'Especificaciones Español'!A26" display="'Especificaciones Español'!A26"/>
    <hyperlink ref="Z6" location="'Especificaciones Español'!A27" display="'Especificaciones Español'!A27"/>
    <hyperlink ref="AA6" location="'Especificaciones Español'!A28" display="'Especificaciones Español'!A28"/>
    <hyperlink ref="AB6" location="'Especificaciones Español'!A29" display="'Especificaciones Español'!A29"/>
    <hyperlink ref="AC6" location="'Especificaciones Español'!A30" display="'Especificaciones Español'!A30"/>
    <hyperlink ref="AD6" location="'Especificaciones Español'!A31" display="'Especificaciones Español'!A31"/>
    <hyperlink ref="AE6" location="'Especificaciones Español'!A32" display="'Especificaciones Español'!A32"/>
  </hyperlinks>
  <pageMargins left="0.7" right="0.7" top="0.75" bottom="0.75" header="0.3" footer="0.3"/>
  <pageSetup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C00000"/>
  </sheetPr>
  <dimension ref="A1:I33"/>
  <sheetViews>
    <sheetView showGridLines="0" zoomScale="80" zoomScaleNormal="80" workbookViewId="0">
      <pane ySplit="2" topLeftCell="A3" activePane="bottomLeft" state="frozen"/>
      <selection pane="bottomLeft" sqref="A1:I1"/>
    </sheetView>
  </sheetViews>
  <sheetFormatPr baseColWidth="10" defaultRowHeight="15" x14ac:dyDescent="0.25"/>
  <cols>
    <col min="1" max="1" width="10.7109375" style="32" customWidth="1"/>
    <col min="2" max="2" width="15.7109375" style="32" customWidth="1"/>
    <col min="3" max="3" width="8.140625" style="32" bestFit="1" customWidth="1"/>
    <col min="4" max="4" width="19" style="32" bestFit="1" customWidth="1"/>
    <col min="5" max="5" width="50.7109375" style="28" customWidth="1"/>
    <col min="6" max="7" width="40.7109375" style="28" customWidth="1"/>
    <col min="8" max="8" width="50.7109375" style="28" customWidth="1"/>
    <col min="9" max="9" width="40.7109375" style="28" customWidth="1"/>
    <col min="10" max="16384" width="11.42578125" style="28"/>
  </cols>
  <sheetData>
    <row r="1" spans="1:9" ht="35.1" customHeight="1" thickBot="1" x14ac:dyDescent="0.3">
      <c r="A1" s="160" t="s">
        <v>46</v>
      </c>
      <c r="B1" s="160"/>
      <c r="C1" s="160"/>
      <c r="D1" s="160"/>
      <c r="E1" s="160"/>
      <c r="F1" s="160"/>
      <c r="G1" s="160"/>
      <c r="H1" s="160"/>
      <c r="I1" s="160"/>
    </row>
    <row r="2" spans="1:9" s="29" customFormat="1" ht="45" x14ac:dyDescent="0.25">
      <c r="A2" s="58" t="s">
        <v>61</v>
      </c>
      <c r="B2" s="59" t="s">
        <v>62</v>
      </c>
      <c r="C2" s="60" t="s">
        <v>63</v>
      </c>
      <c r="D2" s="60" t="s">
        <v>64</v>
      </c>
      <c r="E2" s="61" t="s">
        <v>65</v>
      </c>
      <c r="F2" s="61" t="s">
        <v>66</v>
      </c>
      <c r="G2" s="61" t="s">
        <v>67</v>
      </c>
      <c r="H2" s="61" t="s">
        <v>68</v>
      </c>
      <c r="I2" s="62" t="s">
        <v>82</v>
      </c>
    </row>
    <row r="3" spans="1:9" ht="50.1" customHeight="1" x14ac:dyDescent="0.25">
      <c r="A3" s="34">
        <v>1</v>
      </c>
      <c r="B3" s="30" t="s">
        <v>69</v>
      </c>
      <c r="C3" s="63" t="s">
        <v>40</v>
      </c>
      <c r="D3" s="63" t="s">
        <v>70</v>
      </c>
      <c r="E3" s="64" t="s">
        <v>117</v>
      </c>
      <c r="F3" s="64" t="s">
        <v>56</v>
      </c>
      <c r="G3" s="64" t="s">
        <v>111</v>
      </c>
      <c r="H3" s="64" t="s">
        <v>118</v>
      </c>
      <c r="I3" s="65" t="s">
        <v>119</v>
      </c>
    </row>
    <row r="4" spans="1:9" ht="50.1" customHeight="1" x14ac:dyDescent="0.25">
      <c r="A4" s="34">
        <v>2</v>
      </c>
      <c r="B4" s="30" t="s">
        <v>69</v>
      </c>
      <c r="C4" s="63" t="s">
        <v>40</v>
      </c>
      <c r="D4" s="63" t="s">
        <v>70</v>
      </c>
      <c r="E4" s="64" t="s">
        <v>120</v>
      </c>
      <c r="F4" s="64" t="s">
        <v>59</v>
      </c>
      <c r="G4" s="64" t="s">
        <v>112</v>
      </c>
      <c r="H4" s="64" t="s">
        <v>121</v>
      </c>
      <c r="I4" s="65" t="s">
        <v>122</v>
      </c>
    </row>
    <row r="5" spans="1:9" ht="50.1" customHeight="1" x14ac:dyDescent="0.25">
      <c r="A5" s="34">
        <v>3</v>
      </c>
      <c r="B5" s="30" t="s">
        <v>69</v>
      </c>
      <c r="C5" s="63" t="s">
        <v>40</v>
      </c>
      <c r="D5" s="63" t="s">
        <v>71</v>
      </c>
      <c r="E5" s="64" t="s">
        <v>123</v>
      </c>
      <c r="F5" s="64" t="s">
        <v>54</v>
      </c>
      <c r="G5" s="64" t="s">
        <v>108</v>
      </c>
      <c r="H5" s="64" t="s">
        <v>124</v>
      </c>
      <c r="I5" s="65" t="s">
        <v>125</v>
      </c>
    </row>
    <row r="6" spans="1:9" ht="50.1" customHeight="1" x14ac:dyDescent="0.25">
      <c r="A6" s="34">
        <v>4</v>
      </c>
      <c r="B6" s="30" t="s">
        <v>69</v>
      </c>
      <c r="C6" s="63" t="s">
        <v>40</v>
      </c>
      <c r="D6" s="63" t="s">
        <v>71</v>
      </c>
      <c r="E6" s="64" t="s">
        <v>126</v>
      </c>
      <c r="F6" s="64" t="s">
        <v>54</v>
      </c>
      <c r="G6" s="64" t="s">
        <v>87</v>
      </c>
      <c r="H6" s="64" t="s">
        <v>127</v>
      </c>
      <c r="I6" s="65" t="s">
        <v>128</v>
      </c>
    </row>
    <row r="7" spans="1:9" ht="50.1" customHeight="1" x14ac:dyDescent="0.25">
      <c r="A7" s="34">
        <v>5</v>
      </c>
      <c r="B7" s="30" t="s">
        <v>69</v>
      </c>
      <c r="C7" s="63" t="s">
        <v>40</v>
      </c>
      <c r="D7" s="63" t="s">
        <v>72</v>
      </c>
      <c r="E7" s="64" t="s">
        <v>129</v>
      </c>
      <c r="F7" s="64" t="s">
        <v>59</v>
      </c>
      <c r="G7" s="64" t="s">
        <v>101</v>
      </c>
      <c r="H7" s="64" t="s">
        <v>130</v>
      </c>
      <c r="I7" s="65" t="s">
        <v>131</v>
      </c>
    </row>
    <row r="8" spans="1:9" ht="50.1" customHeight="1" x14ac:dyDescent="0.25">
      <c r="A8" s="34">
        <v>6</v>
      </c>
      <c r="B8" s="30" t="s">
        <v>69</v>
      </c>
      <c r="C8" s="63" t="s">
        <v>40</v>
      </c>
      <c r="D8" s="63" t="s">
        <v>72</v>
      </c>
      <c r="E8" s="64" t="s">
        <v>132</v>
      </c>
      <c r="F8" s="64" t="s">
        <v>59</v>
      </c>
      <c r="G8" s="64" t="s">
        <v>116</v>
      </c>
      <c r="H8" s="64" t="s">
        <v>133</v>
      </c>
      <c r="I8" s="65" t="s">
        <v>134</v>
      </c>
    </row>
    <row r="9" spans="1:9" ht="50.1" customHeight="1" x14ac:dyDescent="0.25">
      <c r="A9" s="34">
        <v>7</v>
      </c>
      <c r="B9" s="30" t="s">
        <v>69</v>
      </c>
      <c r="C9" s="63" t="s">
        <v>73</v>
      </c>
      <c r="D9" s="63" t="s">
        <v>70</v>
      </c>
      <c r="E9" s="64" t="s">
        <v>135</v>
      </c>
      <c r="F9" s="64" t="s">
        <v>59</v>
      </c>
      <c r="G9" s="64" t="s">
        <v>110</v>
      </c>
      <c r="H9" s="64" t="s">
        <v>136</v>
      </c>
      <c r="I9" s="65" t="s">
        <v>137</v>
      </c>
    </row>
    <row r="10" spans="1:9" ht="50.1" customHeight="1" x14ac:dyDescent="0.25">
      <c r="A10" s="34">
        <v>8</v>
      </c>
      <c r="B10" s="30" t="s">
        <v>69</v>
      </c>
      <c r="C10" s="63" t="s">
        <v>73</v>
      </c>
      <c r="D10" s="63" t="s">
        <v>70</v>
      </c>
      <c r="E10" s="64" t="s">
        <v>138</v>
      </c>
      <c r="F10" s="64" t="s">
        <v>54</v>
      </c>
      <c r="G10" s="64" t="s">
        <v>103</v>
      </c>
      <c r="H10" s="64" t="s">
        <v>139</v>
      </c>
      <c r="I10" s="65" t="s">
        <v>140</v>
      </c>
    </row>
    <row r="11" spans="1:9" ht="50.1" customHeight="1" x14ac:dyDescent="0.25">
      <c r="A11" s="34">
        <v>9</v>
      </c>
      <c r="B11" s="30" t="s">
        <v>69</v>
      </c>
      <c r="C11" s="63" t="s">
        <v>73</v>
      </c>
      <c r="D11" s="63" t="s">
        <v>71</v>
      </c>
      <c r="E11" s="64" t="s">
        <v>141</v>
      </c>
      <c r="F11" s="64" t="s">
        <v>58</v>
      </c>
      <c r="G11" s="64" t="s">
        <v>88</v>
      </c>
      <c r="H11" s="64" t="s">
        <v>142</v>
      </c>
      <c r="I11" s="65" t="s">
        <v>143</v>
      </c>
    </row>
    <row r="12" spans="1:9" ht="50.1" customHeight="1" x14ac:dyDescent="0.25">
      <c r="A12" s="34">
        <v>10</v>
      </c>
      <c r="B12" s="30" t="s">
        <v>69</v>
      </c>
      <c r="C12" s="63" t="s">
        <v>73</v>
      </c>
      <c r="D12" s="63" t="s">
        <v>71</v>
      </c>
      <c r="E12" s="64" t="s">
        <v>144</v>
      </c>
      <c r="F12" s="64" t="s">
        <v>58</v>
      </c>
      <c r="G12" s="64" t="s">
        <v>104</v>
      </c>
      <c r="H12" s="64" t="s">
        <v>145</v>
      </c>
      <c r="I12" s="65" t="s">
        <v>146</v>
      </c>
    </row>
    <row r="13" spans="1:9" ht="50.1" customHeight="1" x14ac:dyDescent="0.25">
      <c r="A13" s="34">
        <v>11</v>
      </c>
      <c r="B13" s="30" t="s">
        <v>69</v>
      </c>
      <c r="C13" s="63" t="s">
        <v>73</v>
      </c>
      <c r="D13" s="63" t="s">
        <v>71</v>
      </c>
      <c r="E13" s="64" t="s">
        <v>147</v>
      </c>
      <c r="F13" s="64" t="s">
        <v>58</v>
      </c>
      <c r="G13" s="64" t="s">
        <v>109</v>
      </c>
      <c r="H13" s="64" t="s">
        <v>148</v>
      </c>
      <c r="I13" s="65" t="s">
        <v>146</v>
      </c>
    </row>
    <row r="14" spans="1:9" ht="50.1" customHeight="1" x14ac:dyDescent="0.25">
      <c r="A14" s="34">
        <v>12</v>
      </c>
      <c r="B14" s="30" t="s">
        <v>69</v>
      </c>
      <c r="C14" s="63" t="s">
        <v>73</v>
      </c>
      <c r="D14" s="63" t="s">
        <v>72</v>
      </c>
      <c r="E14" s="64" t="s">
        <v>149</v>
      </c>
      <c r="F14" s="64" t="s">
        <v>93</v>
      </c>
      <c r="G14" s="64" t="s">
        <v>90</v>
      </c>
      <c r="H14" s="64" t="s">
        <v>150</v>
      </c>
      <c r="I14" s="65" t="s">
        <v>151</v>
      </c>
    </row>
    <row r="15" spans="1:9" ht="50.1" customHeight="1" x14ac:dyDescent="0.25">
      <c r="A15" s="34">
        <v>13</v>
      </c>
      <c r="B15" s="30" t="s">
        <v>69</v>
      </c>
      <c r="C15" s="63" t="s">
        <v>73</v>
      </c>
      <c r="D15" s="63" t="s">
        <v>72</v>
      </c>
      <c r="E15" s="64" t="s">
        <v>152</v>
      </c>
      <c r="F15" s="64" t="s">
        <v>59</v>
      </c>
      <c r="G15" s="64" t="s">
        <v>113</v>
      </c>
      <c r="H15" s="64" t="s">
        <v>153</v>
      </c>
      <c r="I15" s="65" t="s">
        <v>154</v>
      </c>
    </row>
    <row r="16" spans="1:9" ht="50.1" customHeight="1" x14ac:dyDescent="0.25">
      <c r="A16" s="34">
        <v>14</v>
      </c>
      <c r="B16" s="30" t="s">
        <v>69</v>
      </c>
      <c r="C16" s="63" t="s">
        <v>74</v>
      </c>
      <c r="D16" s="63" t="s">
        <v>70</v>
      </c>
      <c r="E16" s="64" t="s">
        <v>155</v>
      </c>
      <c r="F16" s="64" t="s">
        <v>58</v>
      </c>
      <c r="G16" s="64" t="s">
        <v>114</v>
      </c>
      <c r="H16" s="64" t="s">
        <v>156</v>
      </c>
      <c r="I16" s="65" t="s">
        <v>157</v>
      </c>
    </row>
    <row r="17" spans="1:9" ht="50.1" customHeight="1" x14ac:dyDescent="0.25">
      <c r="A17" s="34">
        <v>15</v>
      </c>
      <c r="B17" s="30" t="s">
        <v>69</v>
      </c>
      <c r="C17" s="63" t="s">
        <v>74</v>
      </c>
      <c r="D17" s="63" t="s">
        <v>70</v>
      </c>
      <c r="E17" s="64" t="s">
        <v>158</v>
      </c>
      <c r="F17" s="64" t="s">
        <v>59</v>
      </c>
      <c r="G17" s="64" t="s">
        <v>96</v>
      </c>
      <c r="H17" s="64" t="s">
        <v>159</v>
      </c>
      <c r="I17" s="65" t="s">
        <v>160</v>
      </c>
    </row>
    <row r="18" spans="1:9" ht="50.1" customHeight="1" x14ac:dyDescent="0.25">
      <c r="A18" s="34">
        <v>16</v>
      </c>
      <c r="B18" s="30" t="s">
        <v>69</v>
      </c>
      <c r="C18" s="63" t="s">
        <v>74</v>
      </c>
      <c r="D18" s="63" t="s">
        <v>71</v>
      </c>
      <c r="E18" s="64" t="s">
        <v>161</v>
      </c>
      <c r="F18" s="64" t="s">
        <v>54</v>
      </c>
      <c r="G18" s="64" t="s">
        <v>94</v>
      </c>
      <c r="H18" s="64" t="s">
        <v>162</v>
      </c>
      <c r="I18" s="65" t="s">
        <v>163</v>
      </c>
    </row>
    <row r="19" spans="1:9" ht="50.1" customHeight="1" x14ac:dyDescent="0.25">
      <c r="A19" s="34">
        <v>17</v>
      </c>
      <c r="B19" s="30" t="s">
        <v>69</v>
      </c>
      <c r="C19" s="63" t="s">
        <v>74</v>
      </c>
      <c r="D19" s="63" t="s">
        <v>71</v>
      </c>
      <c r="E19" s="64" t="s">
        <v>164</v>
      </c>
      <c r="F19" s="64" t="s">
        <v>58</v>
      </c>
      <c r="G19" s="64" t="s">
        <v>115</v>
      </c>
      <c r="H19" s="64" t="s">
        <v>165</v>
      </c>
      <c r="I19" s="65" t="s">
        <v>140</v>
      </c>
    </row>
    <row r="20" spans="1:9" ht="50.1" customHeight="1" x14ac:dyDescent="0.25">
      <c r="A20" s="34">
        <v>18</v>
      </c>
      <c r="B20" s="30" t="s">
        <v>69</v>
      </c>
      <c r="C20" s="63" t="s">
        <v>74</v>
      </c>
      <c r="D20" s="63" t="s">
        <v>72</v>
      </c>
      <c r="E20" s="64" t="s">
        <v>166</v>
      </c>
      <c r="F20" s="64" t="s">
        <v>91</v>
      </c>
      <c r="G20" s="64" t="s">
        <v>107</v>
      </c>
      <c r="H20" s="64" t="s">
        <v>167</v>
      </c>
      <c r="I20" s="65" t="s">
        <v>168</v>
      </c>
    </row>
    <row r="21" spans="1:9" ht="50.1" customHeight="1" x14ac:dyDescent="0.25">
      <c r="A21" s="34">
        <v>19</v>
      </c>
      <c r="B21" s="30" t="s">
        <v>69</v>
      </c>
      <c r="C21" s="63" t="s">
        <v>74</v>
      </c>
      <c r="D21" s="63" t="s">
        <v>72</v>
      </c>
      <c r="E21" s="64" t="s">
        <v>169</v>
      </c>
      <c r="F21" s="64" t="s">
        <v>54</v>
      </c>
      <c r="G21" s="64" t="s">
        <v>98</v>
      </c>
      <c r="H21" s="64" t="s">
        <v>170</v>
      </c>
      <c r="I21" s="65" t="s">
        <v>168</v>
      </c>
    </row>
    <row r="22" spans="1:9" ht="50.1" customHeight="1" x14ac:dyDescent="0.25">
      <c r="A22" s="34">
        <v>20</v>
      </c>
      <c r="B22" s="30" t="s">
        <v>69</v>
      </c>
      <c r="C22" s="63" t="s">
        <v>75</v>
      </c>
      <c r="D22" s="63" t="s">
        <v>72</v>
      </c>
      <c r="E22" s="64" t="s">
        <v>171</v>
      </c>
      <c r="F22" s="64" t="s">
        <v>58</v>
      </c>
      <c r="G22" s="64" t="s">
        <v>105</v>
      </c>
      <c r="H22" s="64" t="s">
        <v>172</v>
      </c>
      <c r="I22" s="65" t="s">
        <v>168</v>
      </c>
    </row>
    <row r="23" spans="1:9" ht="50.1" customHeight="1" x14ac:dyDescent="0.25">
      <c r="A23" s="34">
        <v>21</v>
      </c>
      <c r="B23" s="30" t="s">
        <v>69</v>
      </c>
      <c r="C23" s="63" t="s">
        <v>75</v>
      </c>
      <c r="D23" s="63" t="s">
        <v>70</v>
      </c>
      <c r="E23" s="64" t="s">
        <v>173</v>
      </c>
      <c r="F23" s="64" t="s">
        <v>56</v>
      </c>
      <c r="G23" s="64" t="s">
        <v>95</v>
      </c>
      <c r="H23" s="64" t="s">
        <v>174</v>
      </c>
      <c r="I23" s="65" t="s">
        <v>175</v>
      </c>
    </row>
    <row r="24" spans="1:9" ht="50.1" customHeight="1" x14ac:dyDescent="0.25">
      <c r="A24" s="34">
        <v>22</v>
      </c>
      <c r="B24" s="30" t="s">
        <v>69</v>
      </c>
      <c r="C24" s="63" t="s">
        <v>75</v>
      </c>
      <c r="D24" s="63" t="s">
        <v>70</v>
      </c>
      <c r="E24" s="64" t="s">
        <v>176</v>
      </c>
      <c r="F24" s="64" t="s">
        <v>56</v>
      </c>
      <c r="G24" s="64" t="s">
        <v>99</v>
      </c>
      <c r="H24" s="64" t="s">
        <v>177</v>
      </c>
      <c r="I24" s="65" t="s">
        <v>175</v>
      </c>
    </row>
    <row r="25" spans="1:9" ht="50.1" customHeight="1" x14ac:dyDescent="0.25">
      <c r="A25" s="34">
        <v>23</v>
      </c>
      <c r="B25" s="30" t="s">
        <v>69</v>
      </c>
      <c r="C25" s="63" t="s">
        <v>75</v>
      </c>
      <c r="D25" s="63" t="s">
        <v>71</v>
      </c>
      <c r="E25" s="64" t="s">
        <v>178</v>
      </c>
      <c r="F25" s="64" t="s">
        <v>58</v>
      </c>
      <c r="G25" s="64" t="s">
        <v>105</v>
      </c>
      <c r="H25" s="64" t="s">
        <v>179</v>
      </c>
      <c r="I25" s="65" t="s">
        <v>180</v>
      </c>
    </row>
    <row r="26" spans="1:9" ht="50.1" customHeight="1" x14ac:dyDescent="0.25">
      <c r="A26" s="34">
        <v>24</v>
      </c>
      <c r="B26" s="30" t="s">
        <v>69</v>
      </c>
      <c r="C26" s="63" t="s">
        <v>75</v>
      </c>
      <c r="D26" s="63" t="s">
        <v>71</v>
      </c>
      <c r="E26" s="64" t="s">
        <v>181</v>
      </c>
      <c r="F26" s="64" t="s">
        <v>54</v>
      </c>
      <c r="G26" s="64" t="s">
        <v>97</v>
      </c>
      <c r="H26" s="64" t="s">
        <v>182</v>
      </c>
      <c r="I26" s="65" t="s">
        <v>180</v>
      </c>
    </row>
    <row r="27" spans="1:9" ht="50.1" customHeight="1" x14ac:dyDescent="0.25">
      <c r="A27" s="34">
        <v>25</v>
      </c>
      <c r="B27" s="30" t="s">
        <v>69</v>
      </c>
      <c r="C27" s="63" t="s">
        <v>75</v>
      </c>
      <c r="D27" s="63" t="s">
        <v>72</v>
      </c>
      <c r="E27" s="64" t="s">
        <v>183</v>
      </c>
      <c r="F27" s="64" t="s">
        <v>56</v>
      </c>
      <c r="G27" s="64" t="s">
        <v>99</v>
      </c>
      <c r="H27" s="64" t="s">
        <v>184</v>
      </c>
      <c r="I27" s="65" t="s">
        <v>185</v>
      </c>
    </row>
    <row r="28" spans="1:9" ht="50.1" customHeight="1" x14ac:dyDescent="0.25">
      <c r="A28" s="34">
        <v>26</v>
      </c>
      <c r="B28" s="30" t="s">
        <v>69</v>
      </c>
      <c r="C28" s="63" t="s">
        <v>75</v>
      </c>
      <c r="D28" s="63" t="s">
        <v>72</v>
      </c>
      <c r="E28" s="64" t="s">
        <v>186</v>
      </c>
      <c r="F28" s="64" t="s">
        <v>91</v>
      </c>
      <c r="G28" s="64" t="s">
        <v>106</v>
      </c>
      <c r="H28" s="64" t="s">
        <v>187</v>
      </c>
      <c r="I28" s="65" t="s">
        <v>185</v>
      </c>
    </row>
    <row r="29" spans="1:9" ht="50.1" customHeight="1" x14ac:dyDescent="0.25">
      <c r="A29" s="34">
        <v>27</v>
      </c>
      <c r="B29" s="30" t="s">
        <v>69</v>
      </c>
      <c r="C29" s="63" t="s">
        <v>36</v>
      </c>
      <c r="D29" s="63" t="s">
        <v>71</v>
      </c>
      <c r="E29" s="64" t="s">
        <v>188</v>
      </c>
      <c r="F29" s="64" t="s">
        <v>58</v>
      </c>
      <c r="G29" s="64" t="s">
        <v>100</v>
      </c>
      <c r="H29" s="64" t="s">
        <v>189</v>
      </c>
      <c r="I29" s="65" t="s">
        <v>190</v>
      </c>
    </row>
    <row r="30" spans="1:9" ht="50.1" customHeight="1" x14ac:dyDescent="0.25">
      <c r="A30" s="34">
        <v>28</v>
      </c>
      <c r="B30" s="30" t="s">
        <v>69</v>
      </c>
      <c r="C30" s="63" t="s">
        <v>36</v>
      </c>
      <c r="D30" s="63" t="s">
        <v>71</v>
      </c>
      <c r="E30" s="64" t="s">
        <v>191</v>
      </c>
      <c r="F30" s="64" t="s">
        <v>93</v>
      </c>
      <c r="G30" s="64" t="s">
        <v>89</v>
      </c>
      <c r="H30" s="64" t="s">
        <v>192</v>
      </c>
      <c r="I30" s="65" t="s">
        <v>190</v>
      </c>
    </row>
    <row r="31" spans="1:9" ht="50.1" customHeight="1" x14ac:dyDescent="0.25">
      <c r="A31" s="34">
        <v>29</v>
      </c>
      <c r="B31" s="30" t="s">
        <v>69</v>
      </c>
      <c r="C31" s="63" t="s">
        <v>36</v>
      </c>
      <c r="D31" s="63" t="s">
        <v>72</v>
      </c>
      <c r="E31" s="64" t="s">
        <v>193</v>
      </c>
      <c r="F31" s="64" t="s">
        <v>93</v>
      </c>
      <c r="G31" s="64" t="s">
        <v>92</v>
      </c>
      <c r="H31" s="64" t="s">
        <v>194</v>
      </c>
      <c r="I31" s="65" t="s">
        <v>140</v>
      </c>
    </row>
    <row r="32" spans="1:9" ht="50.1" customHeight="1" thickBot="1" x14ac:dyDescent="0.3">
      <c r="A32" s="35">
        <v>30</v>
      </c>
      <c r="B32" s="31" t="s">
        <v>69</v>
      </c>
      <c r="C32" s="66" t="s">
        <v>36</v>
      </c>
      <c r="D32" s="66" t="s">
        <v>72</v>
      </c>
      <c r="E32" s="67" t="s">
        <v>195</v>
      </c>
      <c r="F32" s="67" t="s">
        <v>59</v>
      </c>
      <c r="G32" s="67" t="s">
        <v>102</v>
      </c>
      <c r="H32" s="67" t="s">
        <v>196</v>
      </c>
      <c r="I32" s="68" t="s">
        <v>134</v>
      </c>
    </row>
    <row r="33" spans="1:8" x14ac:dyDescent="0.25">
      <c r="A33" s="69"/>
      <c r="B33" s="69"/>
      <c r="C33" s="69"/>
      <c r="D33" s="69"/>
      <c r="E33" s="70"/>
      <c r="F33" s="70"/>
      <c r="G33" s="70"/>
      <c r="H33" s="70"/>
    </row>
  </sheetData>
  <sheetProtection algorithmName="SHA-512" hashValue="vZC0lBkUTxzGxV5/WpedK9W2IVlOmnVdpg6WiJ7Ei+MgYbP86sOSuFW9PHJ19IMX4Ig8OKEp44bZtQA0pT+vhA==" saltValue="ZDIRICLVsovs73K5risJPA==" spinCount="100000" sheet="1" objects="1" scenarios="1"/>
  <mergeCells count="1">
    <mergeCell ref="A1:I1"/>
  </mergeCells>
  <hyperlinks>
    <hyperlink ref="B3" location="'Resultados Español'!A1" display="Regresar a tabla"/>
    <hyperlink ref="B4:B32" location="'Resultados Español'!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AQ402"/>
  <sheetViews>
    <sheetView showGridLines="0" zoomScale="70" zoomScaleNormal="70" workbookViewId="0">
      <pane xSplit="5" ySplit="2" topLeftCell="F3" activePane="bottomRight" state="frozen"/>
      <selection activeCell="A20" sqref="A20:I20"/>
      <selection pane="topRight" activeCell="A20" sqref="A20:I20"/>
      <selection pane="bottomLeft" activeCell="A20" sqref="A20:I20"/>
      <selection pane="bottomRight" sqref="A1:A2"/>
    </sheetView>
  </sheetViews>
  <sheetFormatPr baseColWidth="10" defaultRowHeight="12.75" x14ac:dyDescent="0.25"/>
  <cols>
    <col min="1" max="1" width="10.7109375" style="4" customWidth="1"/>
    <col min="2" max="4" width="25.7109375" style="4" customWidth="1"/>
    <col min="5" max="5" width="25.7109375" style="3" customWidth="1"/>
    <col min="6" max="6" width="20.7109375" style="3" customWidth="1"/>
    <col min="7" max="7" width="15.7109375" style="3" customWidth="1"/>
    <col min="8" max="37" width="3.7109375" style="3" customWidth="1"/>
    <col min="38" max="43" width="12.7109375" style="3" hidden="1" customWidth="1"/>
    <col min="44" max="16384" width="11.42578125" style="1"/>
  </cols>
  <sheetData>
    <row r="1" spans="1:43" ht="23.25" x14ac:dyDescent="0.25">
      <c r="A1" s="122" t="s">
        <v>2</v>
      </c>
      <c r="B1" s="124" t="s">
        <v>4</v>
      </c>
      <c r="C1" s="124" t="s">
        <v>5</v>
      </c>
      <c r="D1" s="124" t="s">
        <v>3</v>
      </c>
      <c r="E1" s="126" t="s">
        <v>1</v>
      </c>
      <c r="F1" s="126" t="s">
        <v>0</v>
      </c>
      <c r="G1" s="126" t="s">
        <v>39</v>
      </c>
      <c r="H1" s="134" t="s">
        <v>6</v>
      </c>
      <c r="I1" s="134" t="s">
        <v>7</v>
      </c>
      <c r="J1" s="130" t="s">
        <v>8</v>
      </c>
      <c r="K1" s="130" t="s">
        <v>9</v>
      </c>
      <c r="L1" s="130" t="s">
        <v>10</v>
      </c>
      <c r="M1" s="139" t="s">
        <v>11</v>
      </c>
      <c r="N1" s="132" t="s">
        <v>12</v>
      </c>
      <c r="O1" s="128" t="s">
        <v>13</v>
      </c>
      <c r="P1" s="128" t="s">
        <v>14</v>
      </c>
      <c r="Q1" s="134" t="s">
        <v>15</v>
      </c>
      <c r="R1" s="134" t="s">
        <v>16</v>
      </c>
      <c r="S1" s="130" t="s">
        <v>17</v>
      </c>
      <c r="T1" s="130" t="s">
        <v>18</v>
      </c>
      <c r="U1" s="132" t="s">
        <v>19</v>
      </c>
      <c r="V1" s="134" t="s">
        <v>20</v>
      </c>
      <c r="W1" s="134" t="s">
        <v>21</v>
      </c>
      <c r="X1" s="130" t="s">
        <v>22</v>
      </c>
      <c r="Y1" s="130" t="s">
        <v>23</v>
      </c>
      <c r="Z1" s="139" t="s">
        <v>24</v>
      </c>
      <c r="AA1" s="134" t="s">
        <v>25</v>
      </c>
      <c r="AB1" s="134" t="s">
        <v>26</v>
      </c>
      <c r="AC1" s="130" t="s">
        <v>27</v>
      </c>
      <c r="AD1" s="139" t="s">
        <v>28</v>
      </c>
      <c r="AE1" s="139" t="s">
        <v>29</v>
      </c>
      <c r="AF1" s="134" t="s">
        <v>30</v>
      </c>
      <c r="AG1" s="134" t="s">
        <v>31</v>
      </c>
      <c r="AH1" s="134" t="s">
        <v>32</v>
      </c>
      <c r="AI1" s="139" t="s">
        <v>33</v>
      </c>
      <c r="AJ1" s="139" t="s">
        <v>34</v>
      </c>
      <c r="AK1" s="128" t="s">
        <v>35</v>
      </c>
      <c r="AL1" s="120" t="s">
        <v>42</v>
      </c>
      <c r="AM1" s="120"/>
      <c r="AN1" s="120"/>
      <c r="AO1" s="120" t="s">
        <v>45</v>
      </c>
      <c r="AP1" s="120"/>
      <c r="AQ1" s="121"/>
    </row>
    <row r="2" spans="1:43" s="2" customFormat="1" ht="30" customHeight="1" x14ac:dyDescent="0.25">
      <c r="A2" s="123"/>
      <c r="B2" s="125"/>
      <c r="C2" s="125"/>
      <c r="D2" s="125"/>
      <c r="E2" s="127"/>
      <c r="F2" s="127"/>
      <c r="G2" s="127"/>
      <c r="H2" s="135"/>
      <c r="I2" s="135"/>
      <c r="J2" s="131"/>
      <c r="K2" s="131"/>
      <c r="L2" s="131"/>
      <c r="M2" s="140"/>
      <c r="N2" s="133"/>
      <c r="O2" s="129"/>
      <c r="P2" s="129"/>
      <c r="Q2" s="135"/>
      <c r="R2" s="135"/>
      <c r="S2" s="131"/>
      <c r="T2" s="131"/>
      <c r="U2" s="133"/>
      <c r="V2" s="135"/>
      <c r="W2" s="135"/>
      <c r="X2" s="131"/>
      <c r="Y2" s="131"/>
      <c r="Z2" s="140"/>
      <c r="AA2" s="135"/>
      <c r="AB2" s="135"/>
      <c r="AC2" s="131"/>
      <c r="AD2" s="140"/>
      <c r="AE2" s="140"/>
      <c r="AF2" s="135"/>
      <c r="AG2" s="135"/>
      <c r="AH2" s="135"/>
      <c r="AI2" s="140"/>
      <c r="AJ2" s="140"/>
      <c r="AK2" s="161"/>
      <c r="AL2" s="36" t="s">
        <v>43</v>
      </c>
      <c r="AM2" s="36" t="s">
        <v>44</v>
      </c>
      <c r="AN2" s="36" t="s">
        <v>41</v>
      </c>
      <c r="AO2" s="36" t="s">
        <v>43</v>
      </c>
      <c r="AP2" s="36" t="s">
        <v>44</v>
      </c>
      <c r="AQ2" s="79" t="s">
        <v>41</v>
      </c>
    </row>
    <row r="3" spans="1:43" ht="20.100000000000001" customHeight="1" x14ac:dyDescent="0.25">
      <c r="A3" s="41">
        <v>1</v>
      </c>
      <c r="B3" s="46"/>
      <c r="C3" s="46"/>
      <c r="D3" s="46"/>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2">
        <f t="shared" ref="AL3:AL66" si="0">COUNTIF($H3:$AK3,1)</f>
        <v>0</v>
      </c>
      <c r="AM3" s="43">
        <f t="shared" ref="AM3:AM66" si="1">COUNTIF($H3:$AK3,0)</f>
        <v>0</v>
      </c>
      <c r="AN3" s="43">
        <f>SUM(AL3:AM3)</f>
        <v>0</v>
      </c>
      <c r="AO3" s="44" t="e">
        <f>(AL3/AN3)*100</f>
        <v>#DIV/0!</v>
      </c>
      <c r="AP3" s="44" t="e">
        <f>(AM3/AN3)*100</f>
        <v>#DIV/0!</v>
      </c>
      <c r="AQ3" s="45" t="e">
        <f>SUM(AO3:AP3)</f>
        <v>#DIV/0!</v>
      </c>
    </row>
    <row r="4" spans="1:43" ht="20.100000000000001" customHeight="1" x14ac:dyDescent="0.25">
      <c r="A4" s="8">
        <v>2</v>
      </c>
      <c r="B4" s="48"/>
      <c r="C4" s="48"/>
      <c r="D4" s="48"/>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0">
        <f t="shared" si="0"/>
        <v>0</v>
      </c>
      <c r="AM4" s="37">
        <f t="shared" si="1"/>
        <v>0</v>
      </c>
      <c r="AN4" s="37">
        <f t="shared" ref="AN4:AN67" si="2">SUM(AL4:AM4)</f>
        <v>0</v>
      </c>
      <c r="AO4" s="38" t="e">
        <f t="shared" ref="AO4:AO67" si="3">(AL4/AN4)*100</f>
        <v>#DIV/0!</v>
      </c>
      <c r="AP4" s="38" t="e">
        <f t="shared" ref="AP4:AP67" si="4">(AM4/AN4)*100</f>
        <v>#DIV/0!</v>
      </c>
      <c r="AQ4" s="39" t="e">
        <f t="shared" ref="AQ4:AQ67" si="5">SUM(AO4:AP4)</f>
        <v>#DIV/0!</v>
      </c>
    </row>
    <row r="5" spans="1:43" ht="20.100000000000001" customHeight="1" x14ac:dyDescent="0.25">
      <c r="A5" s="8">
        <v>3</v>
      </c>
      <c r="B5" s="48"/>
      <c r="C5" s="48"/>
      <c r="D5" s="48"/>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0">
        <f t="shared" si="0"/>
        <v>0</v>
      </c>
      <c r="AM5" s="37">
        <f t="shared" si="1"/>
        <v>0</v>
      </c>
      <c r="AN5" s="37">
        <f t="shared" si="2"/>
        <v>0</v>
      </c>
      <c r="AO5" s="38" t="e">
        <f t="shared" si="3"/>
        <v>#DIV/0!</v>
      </c>
      <c r="AP5" s="38" t="e">
        <f t="shared" si="4"/>
        <v>#DIV/0!</v>
      </c>
      <c r="AQ5" s="39" t="e">
        <f t="shared" si="5"/>
        <v>#DIV/0!</v>
      </c>
    </row>
    <row r="6" spans="1:43" ht="20.100000000000001" customHeight="1" x14ac:dyDescent="0.25">
      <c r="A6" s="8">
        <v>4</v>
      </c>
      <c r="B6" s="48"/>
      <c r="C6" s="48"/>
      <c r="D6" s="48"/>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0">
        <f t="shared" si="0"/>
        <v>0</v>
      </c>
      <c r="AM6" s="37">
        <f t="shared" si="1"/>
        <v>0</v>
      </c>
      <c r="AN6" s="37">
        <f t="shared" si="2"/>
        <v>0</v>
      </c>
      <c r="AO6" s="38" t="e">
        <f t="shared" si="3"/>
        <v>#DIV/0!</v>
      </c>
      <c r="AP6" s="38" t="e">
        <f t="shared" si="4"/>
        <v>#DIV/0!</v>
      </c>
      <c r="AQ6" s="39" t="e">
        <f t="shared" si="5"/>
        <v>#DIV/0!</v>
      </c>
    </row>
    <row r="7" spans="1:43" ht="20.100000000000001" customHeight="1" x14ac:dyDescent="0.25">
      <c r="A7" s="8">
        <v>5</v>
      </c>
      <c r="B7" s="48"/>
      <c r="C7" s="48"/>
      <c r="D7" s="48"/>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0">
        <f t="shared" si="0"/>
        <v>0</v>
      </c>
      <c r="AM7" s="37">
        <f t="shared" si="1"/>
        <v>0</v>
      </c>
      <c r="AN7" s="37">
        <f t="shared" si="2"/>
        <v>0</v>
      </c>
      <c r="AO7" s="38" t="e">
        <f t="shared" si="3"/>
        <v>#DIV/0!</v>
      </c>
      <c r="AP7" s="38" t="e">
        <f t="shared" si="4"/>
        <v>#DIV/0!</v>
      </c>
      <c r="AQ7" s="39" t="e">
        <f t="shared" si="5"/>
        <v>#DIV/0!</v>
      </c>
    </row>
    <row r="8" spans="1:43" ht="20.100000000000001" customHeight="1" x14ac:dyDescent="0.25">
      <c r="A8" s="8">
        <v>6</v>
      </c>
      <c r="B8" s="48"/>
      <c r="C8" s="48"/>
      <c r="D8" s="48"/>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0">
        <f t="shared" si="0"/>
        <v>0</v>
      </c>
      <c r="AM8" s="37">
        <f t="shared" si="1"/>
        <v>0</v>
      </c>
      <c r="AN8" s="37">
        <f t="shared" si="2"/>
        <v>0</v>
      </c>
      <c r="AO8" s="38" t="e">
        <f t="shared" si="3"/>
        <v>#DIV/0!</v>
      </c>
      <c r="AP8" s="38" t="e">
        <f t="shared" si="4"/>
        <v>#DIV/0!</v>
      </c>
      <c r="AQ8" s="39" t="e">
        <f t="shared" si="5"/>
        <v>#DIV/0!</v>
      </c>
    </row>
    <row r="9" spans="1:43" ht="20.100000000000001" customHeight="1" x14ac:dyDescent="0.25">
      <c r="A9" s="8">
        <v>7</v>
      </c>
      <c r="B9" s="48"/>
      <c r="C9" s="48"/>
      <c r="D9" s="48"/>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0">
        <f t="shared" si="0"/>
        <v>0</v>
      </c>
      <c r="AM9" s="37">
        <f t="shared" si="1"/>
        <v>0</v>
      </c>
      <c r="AN9" s="37">
        <f t="shared" si="2"/>
        <v>0</v>
      </c>
      <c r="AO9" s="38" t="e">
        <f t="shared" si="3"/>
        <v>#DIV/0!</v>
      </c>
      <c r="AP9" s="38" t="e">
        <f t="shared" si="4"/>
        <v>#DIV/0!</v>
      </c>
      <c r="AQ9" s="39" t="e">
        <f t="shared" si="5"/>
        <v>#DIV/0!</v>
      </c>
    </row>
    <row r="10" spans="1:43" ht="20.100000000000001" customHeight="1" x14ac:dyDescent="0.25">
      <c r="A10" s="8">
        <v>8</v>
      </c>
      <c r="B10" s="48"/>
      <c r="C10" s="48"/>
      <c r="D10" s="48"/>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0">
        <f t="shared" si="0"/>
        <v>0</v>
      </c>
      <c r="AM10" s="37">
        <f t="shared" si="1"/>
        <v>0</v>
      </c>
      <c r="AN10" s="37">
        <f t="shared" si="2"/>
        <v>0</v>
      </c>
      <c r="AO10" s="38" t="e">
        <f t="shared" si="3"/>
        <v>#DIV/0!</v>
      </c>
      <c r="AP10" s="38" t="e">
        <f t="shared" si="4"/>
        <v>#DIV/0!</v>
      </c>
      <c r="AQ10" s="39" t="e">
        <f t="shared" si="5"/>
        <v>#DIV/0!</v>
      </c>
    </row>
    <row r="11" spans="1:43" ht="20.100000000000001" customHeight="1" x14ac:dyDescent="0.25">
      <c r="A11" s="8">
        <v>9</v>
      </c>
      <c r="B11" s="48"/>
      <c r="C11" s="48"/>
      <c r="D11" s="48"/>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0">
        <f t="shared" si="0"/>
        <v>0</v>
      </c>
      <c r="AM11" s="37">
        <f t="shared" si="1"/>
        <v>0</v>
      </c>
      <c r="AN11" s="37">
        <f t="shared" si="2"/>
        <v>0</v>
      </c>
      <c r="AO11" s="38" t="e">
        <f t="shared" si="3"/>
        <v>#DIV/0!</v>
      </c>
      <c r="AP11" s="38" t="e">
        <f t="shared" si="4"/>
        <v>#DIV/0!</v>
      </c>
      <c r="AQ11" s="39" t="e">
        <f t="shared" si="5"/>
        <v>#DIV/0!</v>
      </c>
    </row>
    <row r="12" spans="1:43" ht="20.100000000000001" customHeight="1" x14ac:dyDescent="0.25">
      <c r="A12" s="8">
        <v>10</v>
      </c>
      <c r="B12" s="48"/>
      <c r="C12" s="48"/>
      <c r="D12" s="48"/>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0">
        <f t="shared" si="0"/>
        <v>0</v>
      </c>
      <c r="AM12" s="37">
        <f t="shared" si="1"/>
        <v>0</v>
      </c>
      <c r="AN12" s="37">
        <f t="shared" si="2"/>
        <v>0</v>
      </c>
      <c r="AO12" s="38" t="e">
        <f t="shared" si="3"/>
        <v>#DIV/0!</v>
      </c>
      <c r="AP12" s="38" t="e">
        <f t="shared" si="4"/>
        <v>#DIV/0!</v>
      </c>
      <c r="AQ12" s="39" t="e">
        <f t="shared" si="5"/>
        <v>#DIV/0!</v>
      </c>
    </row>
    <row r="13" spans="1:43" ht="20.100000000000001" customHeight="1" x14ac:dyDescent="0.25">
      <c r="A13" s="8">
        <v>11</v>
      </c>
      <c r="B13" s="48"/>
      <c r="C13" s="48"/>
      <c r="D13" s="48"/>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0">
        <f t="shared" si="0"/>
        <v>0</v>
      </c>
      <c r="AM13" s="37">
        <f t="shared" si="1"/>
        <v>0</v>
      </c>
      <c r="AN13" s="37">
        <f t="shared" si="2"/>
        <v>0</v>
      </c>
      <c r="AO13" s="38" t="e">
        <f t="shared" si="3"/>
        <v>#DIV/0!</v>
      </c>
      <c r="AP13" s="38" t="e">
        <f t="shared" si="4"/>
        <v>#DIV/0!</v>
      </c>
      <c r="AQ13" s="39" t="e">
        <f t="shared" si="5"/>
        <v>#DIV/0!</v>
      </c>
    </row>
    <row r="14" spans="1:43" ht="20.100000000000001" customHeight="1" x14ac:dyDescent="0.25">
      <c r="A14" s="8">
        <v>12</v>
      </c>
      <c r="B14" s="48"/>
      <c r="C14" s="48"/>
      <c r="D14" s="48"/>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0">
        <f t="shared" si="0"/>
        <v>0</v>
      </c>
      <c r="AM14" s="37">
        <f t="shared" si="1"/>
        <v>0</v>
      </c>
      <c r="AN14" s="37">
        <f t="shared" si="2"/>
        <v>0</v>
      </c>
      <c r="AO14" s="38" t="e">
        <f t="shared" si="3"/>
        <v>#DIV/0!</v>
      </c>
      <c r="AP14" s="38" t="e">
        <f t="shared" si="4"/>
        <v>#DIV/0!</v>
      </c>
      <c r="AQ14" s="39" t="e">
        <f t="shared" si="5"/>
        <v>#DIV/0!</v>
      </c>
    </row>
    <row r="15" spans="1:43" ht="20.100000000000001" customHeight="1" x14ac:dyDescent="0.25">
      <c r="A15" s="8">
        <v>13</v>
      </c>
      <c r="B15" s="48"/>
      <c r="C15" s="48"/>
      <c r="D15" s="48"/>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0">
        <f t="shared" si="0"/>
        <v>0</v>
      </c>
      <c r="AM15" s="37">
        <f t="shared" si="1"/>
        <v>0</v>
      </c>
      <c r="AN15" s="37">
        <f t="shared" si="2"/>
        <v>0</v>
      </c>
      <c r="AO15" s="38" t="e">
        <f t="shared" si="3"/>
        <v>#DIV/0!</v>
      </c>
      <c r="AP15" s="38" t="e">
        <f t="shared" si="4"/>
        <v>#DIV/0!</v>
      </c>
      <c r="AQ15" s="39" t="e">
        <f t="shared" si="5"/>
        <v>#DIV/0!</v>
      </c>
    </row>
    <row r="16" spans="1:43" ht="20.100000000000001" customHeight="1" x14ac:dyDescent="0.25">
      <c r="A16" s="8">
        <v>14</v>
      </c>
      <c r="B16" s="48"/>
      <c r="C16" s="48"/>
      <c r="D16" s="48"/>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0">
        <f t="shared" si="0"/>
        <v>0</v>
      </c>
      <c r="AM16" s="37">
        <f t="shared" si="1"/>
        <v>0</v>
      </c>
      <c r="AN16" s="37">
        <f t="shared" si="2"/>
        <v>0</v>
      </c>
      <c r="AO16" s="38" t="e">
        <f t="shared" si="3"/>
        <v>#DIV/0!</v>
      </c>
      <c r="AP16" s="38" t="e">
        <f t="shared" si="4"/>
        <v>#DIV/0!</v>
      </c>
      <c r="AQ16" s="39" t="e">
        <f t="shared" si="5"/>
        <v>#DIV/0!</v>
      </c>
    </row>
    <row r="17" spans="1:43" ht="20.100000000000001" customHeight="1" x14ac:dyDescent="0.25">
      <c r="A17" s="8">
        <v>15</v>
      </c>
      <c r="B17" s="48"/>
      <c r="C17" s="48"/>
      <c r="D17" s="48"/>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0">
        <f t="shared" si="0"/>
        <v>0</v>
      </c>
      <c r="AM17" s="37">
        <f t="shared" si="1"/>
        <v>0</v>
      </c>
      <c r="AN17" s="37">
        <f t="shared" si="2"/>
        <v>0</v>
      </c>
      <c r="AO17" s="38" t="e">
        <f t="shared" si="3"/>
        <v>#DIV/0!</v>
      </c>
      <c r="AP17" s="38" t="e">
        <f t="shared" si="4"/>
        <v>#DIV/0!</v>
      </c>
      <c r="AQ17" s="39" t="e">
        <f t="shared" si="5"/>
        <v>#DIV/0!</v>
      </c>
    </row>
    <row r="18" spans="1:43" ht="20.100000000000001" customHeight="1" x14ac:dyDescent="0.25">
      <c r="A18" s="8">
        <v>16</v>
      </c>
      <c r="B18" s="48"/>
      <c r="C18" s="48"/>
      <c r="D18" s="48"/>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0">
        <f t="shared" si="0"/>
        <v>0</v>
      </c>
      <c r="AM18" s="37">
        <f t="shared" si="1"/>
        <v>0</v>
      </c>
      <c r="AN18" s="37">
        <f t="shared" si="2"/>
        <v>0</v>
      </c>
      <c r="AO18" s="38" t="e">
        <f t="shared" si="3"/>
        <v>#DIV/0!</v>
      </c>
      <c r="AP18" s="38" t="e">
        <f t="shared" si="4"/>
        <v>#DIV/0!</v>
      </c>
      <c r="AQ18" s="39" t="e">
        <f t="shared" si="5"/>
        <v>#DIV/0!</v>
      </c>
    </row>
    <row r="19" spans="1:43" ht="20.100000000000001" customHeight="1" x14ac:dyDescent="0.25">
      <c r="A19" s="8">
        <v>17</v>
      </c>
      <c r="B19" s="48"/>
      <c r="C19" s="48"/>
      <c r="D19" s="48"/>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0">
        <f t="shared" si="0"/>
        <v>0</v>
      </c>
      <c r="AM19" s="37">
        <f t="shared" si="1"/>
        <v>0</v>
      </c>
      <c r="AN19" s="37">
        <f t="shared" si="2"/>
        <v>0</v>
      </c>
      <c r="AO19" s="38" t="e">
        <f t="shared" si="3"/>
        <v>#DIV/0!</v>
      </c>
      <c r="AP19" s="38" t="e">
        <f t="shared" si="4"/>
        <v>#DIV/0!</v>
      </c>
      <c r="AQ19" s="39" t="e">
        <f t="shared" si="5"/>
        <v>#DIV/0!</v>
      </c>
    </row>
    <row r="20" spans="1:43" ht="20.100000000000001" customHeight="1" x14ac:dyDescent="0.25">
      <c r="A20" s="8">
        <v>18</v>
      </c>
      <c r="B20" s="48"/>
      <c r="C20" s="48"/>
      <c r="D20" s="48"/>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0">
        <f t="shared" si="0"/>
        <v>0</v>
      </c>
      <c r="AM20" s="37">
        <f t="shared" si="1"/>
        <v>0</v>
      </c>
      <c r="AN20" s="37">
        <f t="shared" si="2"/>
        <v>0</v>
      </c>
      <c r="AO20" s="38" t="e">
        <f t="shared" si="3"/>
        <v>#DIV/0!</v>
      </c>
      <c r="AP20" s="38" t="e">
        <f t="shared" si="4"/>
        <v>#DIV/0!</v>
      </c>
      <c r="AQ20" s="39" t="e">
        <f t="shared" si="5"/>
        <v>#DIV/0!</v>
      </c>
    </row>
    <row r="21" spans="1:43" ht="20.100000000000001" customHeight="1" x14ac:dyDescent="0.25">
      <c r="A21" s="8">
        <v>19</v>
      </c>
      <c r="B21" s="48"/>
      <c r="C21" s="48"/>
      <c r="D21" s="48"/>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0">
        <f t="shared" si="0"/>
        <v>0</v>
      </c>
      <c r="AM21" s="37">
        <f t="shared" si="1"/>
        <v>0</v>
      </c>
      <c r="AN21" s="37">
        <f t="shared" si="2"/>
        <v>0</v>
      </c>
      <c r="AO21" s="38" t="e">
        <f t="shared" si="3"/>
        <v>#DIV/0!</v>
      </c>
      <c r="AP21" s="38" t="e">
        <f t="shared" si="4"/>
        <v>#DIV/0!</v>
      </c>
      <c r="AQ21" s="39" t="e">
        <f t="shared" si="5"/>
        <v>#DIV/0!</v>
      </c>
    </row>
    <row r="22" spans="1:43" ht="20.100000000000001" customHeight="1" x14ac:dyDescent="0.25">
      <c r="A22" s="8">
        <v>20</v>
      </c>
      <c r="B22" s="48"/>
      <c r="C22" s="48"/>
      <c r="D22" s="48"/>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0">
        <f t="shared" si="0"/>
        <v>0</v>
      </c>
      <c r="AM22" s="37">
        <f t="shared" si="1"/>
        <v>0</v>
      </c>
      <c r="AN22" s="37">
        <f t="shared" si="2"/>
        <v>0</v>
      </c>
      <c r="AO22" s="38" t="e">
        <f t="shared" si="3"/>
        <v>#DIV/0!</v>
      </c>
      <c r="AP22" s="38" t="e">
        <f t="shared" si="4"/>
        <v>#DIV/0!</v>
      </c>
      <c r="AQ22" s="39" t="e">
        <f t="shared" si="5"/>
        <v>#DIV/0!</v>
      </c>
    </row>
    <row r="23" spans="1:43" ht="20.100000000000001" customHeight="1" x14ac:dyDescent="0.25">
      <c r="A23" s="8">
        <v>21</v>
      </c>
      <c r="B23" s="48"/>
      <c r="C23" s="48"/>
      <c r="D23" s="48"/>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0">
        <f t="shared" si="0"/>
        <v>0</v>
      </c>
      <c r="AM23" s="37">
        <f t="shared" si="1"/>
        <v>0</v>
      </c>
      <c r="AN23" s="37">
        <f t="shared" si="2"/>
        <v>0</v>
      </c>
      <c r="AO23" s="38" t="e">
        <f t="shared" si="3"/>
        <v>#DIV/0!</v>
      </c>
      <c r="AP23" s="38" t="e">
        <f t="shared" si="4"/>
        <v>#DIV/0!</v>
      </c>
      <c r="AQ23" s="39" t="e">
        <f t="shared" si="5"/>
        <v>#DIV/0!</v>
      </c>
    </row>
    <row r="24" spans="1:43" ht="20.100000000000001" customHeight="1" x14ac:dyDescent="0.25">
      <c r="A24" s="8">
        <v>22</v>
      </c>
      <c r="B24" s="48"/>
      <c r="C24" s="48"/>
      <c r="D24" s="48"/>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0">
        <f t="shared" si="0"/>
        <v>0</v>
      </c>
      <c r="AM24" s="37">
        <f t="shared" si="1"/>
        <v>0</v>
      </c>
      <c r="AN24" s="37">
        <f t="shared" si="2"/>
        <v>0</v>
      </c>
      <c r="AO24" s="38" t="e">
        <f t="shared" si="3"/>
        <v>#DIV/0!</v>
      </c>
      <c r="AP24" s="38" t="e">
        <f t="shared" si="4"/>
        <v>#DIV/0!</v>
      </c>
      <c r="AQ24" s="39" t="e">
        <f t="shared" si="5"/>
        <v>#DIV/0!</v>
      </c>
    </row>
    <row r="25" spans="1:43" ht="20.100000000000001" customHeight="1" x14ac:dyDescent="0.25">
      <c r="A25" s="8">
        <v>23</v>
      </c>
      <c r="B25" s="48"/>
      <c r="C25" s="48"/>
      <c r="D25" s="48"/>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0">
        <f t="shared" si="0"/>
        <v>0</v>
      </c>
      <c r="AM25" s="37">
        <f t="shared" si="1"/>
        <v>0</v>
      </c>
      <c r="AN25" s="37">
        <f t="shared" si="2"/>
        <v>0</v>
      </c>
      <c r="AO25" s="38" t="e">
        <f t="shared" si="3"/>
        <v>#DIV/0!</v>
      </c>
      <c r="AP25" s="38" t="e">
        <f t="shared" si="4"/>
        <v>#DIV/0!</v>
      </c>
      <c r="AQ25" s="39" t="e">
        <f t="shared" si="5"/>
        <v>#DIV/0!</v>
      </c>
    </row>
    <row r="26" spans="1:43" ht="20.100000000000001" customHeight="1" x14ac:dyDescent="0.25">
      <c r="A26" s="8">
        <v>24</v>
      </c>
      <c r="B26" s="48"/>
      <c r="C26" s="48"/>
      <c r="D26" s="48"/>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0">
        <f t="shared" si="0"/>
        <v>0</v>
      </c>
      <c r="AM26" s="37">
        <f t="shared" si="1"/>
        <v>0</v>
      </c>
      <c r="AN26" s="37">
        <f t="shared" si="2"/>
        <v>0</v>
      </c>
      <c r="AO26" s="38" t="e">
        <f t="shared" si="3"/>
        <v>#DIV/0!</v>
      </c>
      <c r="AP26" s="38" t="e">
        <f t="shared" si="4"/>
        <v>#DIV/0!</v>
      </c>
      <c r="AQ26" s="39" t="e">
        <f t="shared" si="5"/>
        <v>#DIV/0!</v>
      </c>
    </row>
    <row r="27" spans="1:43" ht="20.100000000000001" customHeight="1" x14ac:dyDescent="0.25">
      <c r="A27" s="8">
        <v>25</v>
      </c>
      <c r="B27" s="48"/>
      <c r="C27" s="48"/>
      <c r="D27" s="48"/>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0">
        <f t="shared" si="0"/>
        <v>0</v>
      </c>
      <c r="AM27" s="37">
        <f t="shared" si="1"/>
        <v>0</v>
      </c>
      <c r="AN27" s="37">
        <f t="shared" si="2"/>
        <v>0</v>
      </c>
      <c r="AO27" s="38" t="e">
        <f t="shared" si="3"/>
        <v>#DIV/0!</v>
      </c>
      <c r="AP27" s="38" t="e">
        <f t="shared" si="4"/>
        <v>#DIV/0!</v>
      </c>
      <c r="AQ27" s="39" t="e">
        <f t="shared" si="5"/>
        <v>#DIV/0!</v>
      </c>
    </row>
    <row r="28" spans="1:43" ht="20.100000000000001" customHeight="1" x14ac:dyDescent="0.25">
      <c r="A28" s="8">
        <v>26</v>
      </c>
      <c r="B28" s="48"/>
      <c r="C28" s="48"/>
      <c r="D28" s="48"/>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0">
        <f t="shared" si="0"/>
        <v>0</v>
      </c>
      <c r="AM28" s="37">
        <f t="shared" si="1"/>
        <v>0</v>
      </c>
      <c r="AN28" s="37">
        <f t="shared" si="2"/>
        <v>0</v>
      </c>
      <c r="AO28" s="38" t="e">
        <f t="shared" si="3"/>
        <v>#DIV/0!</v>
      </c>
      <c r="AP28" s="38" t="e">
        <f t="shared" si="4"/>
        <v>#DIV/0!</v>
      </c>
      <c r="AQ28" s="39" t="e">
        <f t="shared" si="5"/>
        <v>#DIV/0!</v>
      </c>
    </row>
    <row r="29" spans="1:43" ht="20.100000000000001" customHeight="1" x14ac:dyDescent="0.25">
      <c r="A29" s="8">
        <v>27</v>
      </c>
      <c r="B29" s="48"/>
      <c r="C29" s="48"/>
      <c r="D29" s="48"/>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0">
        <f t="shared" si="0"/>
        <v>0</v>
      </c>
      <c r="AM29" s="37">
        <f t="shared" si="1"/>
        <v>0</v>
      </c>
      <c r="AN29" s="37">
        <f t="shared" si="2"/>
        <v>0</v>
      </c>
      <c r="AO29" s="38" t="e">
        <f t="shared" si="3"/>
        <v>#DIV/0!</v>
      </c>
      <c r="AP29" s="38" t="e">
        <f t="shared" si="4"/>
        <v>#DIV/0!</v>
      </c>
      <c r="AQ29" s="39" t="e">
        <f t="shared" si="5"/>
        <v>#DIV/0!</v>
      </c>
    </row>
    <row r="30" spans="1:43" ht="20.100000000000001" customHeight="1" x14ac:dyDescent="0.25">
      <c r="A30" s="8">
        <v>28</v>
      </c>
      <c r="B30" s="48"/>
      <c r="C30" s="48"/>
      <c r="D30" s="48"/>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0">
        <f t="shared" si="0"/>
        <v>0</v>
      </c>
      <c r="AM30" s="37">
        <f t="shared" si="1"/>
        <v>0</v>
      </c>
      <c r="AN30" s="37">
        <f t="shared" si="2"/>
        <v>0</v>
      </c>
      <c r="AO30" s="38" t="e">
        <f t="shared" si="3"/>
        <v>#DIV/0!</v>
      </c>
      <c r="AP30" s="38" t="e">
        <f t="shared" si="4"/>
        <v>#DIV/0!</v>
      </c>
      <c r="AQ30" s="39" t="e">
        <f t="shared" si="5"/>
        <v>#DIV/0!</v>
      </c>
    </row>
    <row r="31" spans="1:43" ht="20.100000000000001" customHeight="1" x14ac:dyDescent="0.25">
      <c r="A31" s="8">
        <v>29</v>
      </c>
      <c r="B31" s="48"/>
      <c r="C31" s="48"/>
      <c r="D31" s="48"/>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0">
        <f t="shared" si="0"/>
        <v>0</v>
      </c>
      <c r="AM31" s="37">
        <f t="shared" si="1"/>
        <v>0</v>
      </c>
      <c r="AN31" s="37">
        <f t="shared" si="2"/>
        <v>0</v>
      </c>
      <c r="AO31" s="38" t="e">
        <f t="shared" si="3"/>
        <v>#DIV/0!</v>
      </c>
      <c r="AP31" s="38" t="e">
        <f t="shared" si="4"/>
        <v>#DIV/0!</v>
      </c>
      <c r="AQ31" s="39" t="e">
        <f t="shared" si="5"/>
        <v>#DIV/0!</v>
      </c>
    </row>
    <row r="32" spans="1:43" ht="20.100000000000001" customHeight="1" x14ac:dyDescent="0.25">
      <c r="A32" s="8">
        <v>30</v>
      </c>
      <c r="B32" s="48"/>
      <c r="C32" s="48"/>
      <c r="D32" s="48"/>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0">
        <f t="shared" si="0"/>
        <v>0</v>
      </c>
      <c r="AM32" s="37">
        <f t="shared" si="1"/>
        <v>0</v>
      </c>
      <c r="AN32" s="37">
        <f t="shared" si="2"/>
        <v>0</v>
      </c>
      <c r="AO32" s="38" t="e">
        <f t="shared" si="3"/>
        <v>#DIV/0!</v>
      </c>
      <c r="AP32" s="38" t="e">
        <f t="shared" si="4"/>
        <v>#DIV/0!</v>
      </c>
      <c r="AQ32" s="39" t="e">
        <f t="shared" si="5"/>
        <v>#DIV/0!</v>
      </c>
    </row>
    <row r="33" spans="1:43" ht="20.100000000000001" customHeight="1" x14ac:dyDescent="0.25">
      <c r="A33" s="8">
        <v>31</v>
      </c>
      <c r="B33" s="48"/>
      <c r="C33" s="48"/>
      <c r="D33" s="48"/>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0">
        <f t="shared" si="0"/>
        <v>0</v>
      </c>
      <c r="AM33" s="37">
        <f t="shared" si="1"/>
        <v>0</v>
      </c>
      <c r="AN33" s="37">
        <f t="shared" si="2"/>
        <v>0</v>
      </c>
      <c r="AO33" s="38" t="e">
        <f t="shared" si="3"/>
        <v>#DIV/0!</v>
      </c>
      <c r="AP33" s="38" t="e">
        <f t="shared" si="4"/>
        <v>#DIV/0!</v>
      </c>
      <c r="AQ33" s="39" t="e">
        <f t="shared" si="5"/>
        <v>#DIV/0!</v>
      </c>
    </row>
    <row r="34" spans="1:43" ht="20.100000000000001" customHeight="1" x14ac:dyDescent="0.25">
      <c r="A34" s="8">
        <v>32</v>
      </c>
      <c r="B34" s="48"/>
      <c r="C34" s="48"/>
      <c r="D34" s="48"/>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0">
        <f t="shared" si="0"/>
        <v>0</v>
      </c>
      <c r="AM34" s="37">
        <f t="shared" si="1"/>
        <v>0</v>
      </c>
      <c r="AN34" s="37">
        <f t="shared" si="2"/>
        <v>0</v>
      </c>
      <c r="AO34" s="38" t="e">
        <f t="shared" si="3"/>
        <v>#DIV/0!</v>
      </c>
      <c r="AP34" s="38" t="e">
        <f t="shared" si="4"/>
        <v>#DIV/0!</v>
      </c>
      <c r="AQ34" s="39" t="e">
        <f t="shared" si="5"/>
        <v>#DIV/0!</v>
      </c>
    </row>
    <row r="35" spans="1:43" ht="20.100000000000001" customHeight="1" x14ac:dyDescent="0.25">
      <c r="A35" s="8">
        <v>33</v>
      </c>
      <c r="B35" s="48"/>
      <c r="C35" s="48"/>
      <c r="D35" s="48"/>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0">
        <f t="shared" si="0"/>
        <v>0</v>
      </c>
      <c r="AM35" s="37">
        <f t="shared" si="1"/>
        <v>0</v>
      </c>
      <c r="AN35" s="37">
        <f t="shared" si="2"/>
        <v>0</v>
      </c>
      <c r="AO35" s="38" t="e">
        <f t="shared" si="3"/>
        <v>#DIV/0!</v>
      </c>
      <c r="AP35" s="38" t="e">
        <f t="shared" si="4"/>
        <v>#DIV/0!</v>
      </c>
      <c r="AQ35" s="39" t="e">
        <f t="shared" si="5"/>
        <v>#DIV/0!</v>
      </c>
    </row>
    <row r="36" spans="1:43" ht="20.100000000000001" customHeight="1" x14ac:dyDescent="0.25">
      <c r="A36" s="8">
        <v>34</v>
      </c>
      <c r="B36" s="48"/>
      <c r="C36" s="48"/>
      <c r="D36" s="48"/>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0">
        <f t="shared" si="0"/>
        <v>0</v>
      </c>
      <c r="AM36" s="37">
        <f t="shared" si="1"/>
        <v>0</v>
      </c>
      <c r="AN36" s="37">
        <f t="shared" si="2"/>
        <v>0</v>
      </c>
      <c r="AO36" s="38" t="e">
        <f t="shared" si="3"/>
        <v>#DIV/0!</v>
      </c>
      <c r="AP36" s="38" t="e">
        <f t="shared" si="4"/>
        <v>#DIV/0!</v>
      </c>
      <c r="AQ36" s="39" t="e">
        <f t="shared" si="5"/>
        <v>#DIV/0!</v>
      </c>
    </row>
    <row r="37" spans="1:43" ht="20.100000000000001" customHeight="1" x14ac:dyDescent="0.25">
      <c r="A37" s="8">
        <v>35</v>
      </c>
      <c r="B37" s="48"/>
      <c r="C37" s="48"/>
      <c r="D37" s="48"/>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0">
        <f t="shared" si="0"/>
        <v>0</v>
      </c>
      <c r="AM37" s="37">
        <f t="shared" si="1"/>
        <v>0</v>
      </c>
      <c r="AN37" s="37">
        <f t="shared" si="2"/>
        <v>0</v>
      </c>
      <c r="AO37" s="38" t="e">
        <f t="shared" si="3"/>
        <v>#DIV/0!</v>
      </c>
      <c r="AP37" s="38" t="e">
        <f t="shared" si="4"/>
        <v>#DIV/0!</v>
      </c>
      <c r="AQ37" s="39" t="e">
        <f t="shared" si="5"/>
        <v>#DIV/0!</v>
      </c>
    </row>
    <row r="38" spans="1:43" ht="20.100000000000001" customHeight="1" x14ac:dyDescent="0.25">
      <c r="A38" s="8">
        <v>36</v>
      </c>
      <c r="B38" s="48"/>
      <c r="C38" s="48"/>
      <c r="D38" s="48"/>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0">
        <f t="shared" si="0"/>
        <v>0</v>
      </c>
      <c r="AM38" s="37">
        <f t="shared" si="1"/>
        <v>0</v>
      </c>
      <c r="AN38" s="37">
        <f t="shared" si="2"/>
        <v>0</v>
      </c>
      <c r="AO38" s="38" t="e">
        <f t="shared" si="3"/>
        <v>#DIV/0!</v>
      </c>
      <c r="AP38" s="38" t="e">
        <f t="shared" si="4"/>
        <v>#DIV/0!</v>
      </c>
      <c r="AQ38" s="39" t="e">
        <f t="shared" si="5"/>
        <v>#DIV/0!</v>
      </c>
    </row>
    <row r="39" spans="1:43" ht="20.100000000000001" customHeight="1" x14ac:dyDescent="0.25">
      <c r="A39" s="8">
        <v>37</v>
      </c>
      <c r="B39" s="48"/>
      <c r="C39" s="48"/>
      <c r="D39" s="48"/>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0">
        <f t="shared" si="0"/>
        <v>0</v>
      </c>
      <c r="AM39" s="37">
        <f t="shared" si="1"/>
        <v>0</v>
      </c>
      <c r="AN39" s="37">
        <f t="shared" si="2"/>
        <v>0</v>
      </c>
      <c r="AO39" s="38" t="e">
        <f t="shared" si="3"/>
        <v>#DIV/0!</v>
      </c>
      <c r="AP39" s="38" t="e">
        <f t="shared" si="4"/>
        <v>#DIV/0!</v>
      </c>
      <c r="AQ39" s="39" t="e">
        <f t="shared" si="5"/>
        <v>#DIV/0!</v>
      </c>
    </row>
    <row r="40" spans="1:43" ht="20.100000000000001" customHeight="1" x14ac:dyDescent="0.25">
      <c r="A40" s="8">
        <v>38</v>
      </c>
      <c r="B40" s="48"/>
      <c r="C40" s="48"/>
      <c r="D40" s="48"/>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0">
        <f t="shared" si="0"/>
        <v>0</v>
      </c>
      <c r="AM40" s="37">
        <f t="shared" si="1"/>
        <v>0</v>
      </c>
      <c r="AN40" s="37">
        <f t="shared" si="2"/>
        <v>0</v>
      </c>
      <c r="AO40" s="38" t="e">
        <f t="shared" si="3"/>
        <v>#DIV/0!</v>
      </c>
      <c r="AP40" s="38" t="e">
        <f t="shared" si="4"/>
        <v>#DIV/0!</v>
      </c>
      <c r="AQ40" s="39" t="e">
        <f t="shared" si="5"/>
        <v>#DIV/0!</v>
      </c>
    </row>
    <row r="41" spans="1:43" ht="20.100000000000001" customHeight="1" x14ac:dyDescent="0.25">
      <c r="A41" s="8">
        <v>39</v>
      </c>
      <c r="B41" s="48"/>
      <c r="C41" s="48"/>
      <c r="D41" s="48"/>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0">
        <f t="shared" si="0"/>
        <v>0</v>
      </c>
      <c r="AM41" s="37">
        <f t="shared" si="1"/>
        <v>0</v>
      </c>
      <c r="AN41" s="37">
        <f t="shared" si="2"/>
        <v>0</v>
      </c>
      <c r="AO41" s="38" t="e">
        <f t="shared" si="3"/>
        <v>#DIV/0!</v>
      </c>
      <c r="AP41" s="38" t="e">
        <f t="shared" si="4"/>
        <v>#DIV/0!</v>
      </c>
      <c r="AQ41" s="39" t="e">
        <f t="shared" si="5"/>
        <v>#DIV/0!</v>
      </c>
    </row>
    <row r="42" spans="1:43" ht="20.100000000000001" customHeight="1" x14ac:dyDescent="0.25">
      <c r="A42" s="8">
        <v>40</v>
      </c>
      <c r="B42" s="48"/>
      <c r="C42" s="48"/>
      <c r="D42" s="48"/>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0">
        <f t="shared" si="0"/>
        <v>0</v>
      </c>
      <c r="AM42" s="37">
        <f t="shared" si="1"/>
        <v>0</v>
      </c>
      <c r="AN42" s="37">
        <f t="shared" si="2"/>
        <v>0</v>
      </c>
      <c r="AO42" s="38" t="e">
        <f t="shared" si="3"/>
        <v>#DIV/0!</v>
      </c>
      <c r="AP42" s="38" t="e">
        <f t="shared" si="4"/>
        <v>#DIV/0!</v>
      </c>
      <c r="AQ42" s="39" t="e">
        <f t="shared" si="5"/>
        <v>#DIV/0!</v>
      </c>
    </row>
    <row r="43" spans="1:43" ht="20.100000000000001" customHeight="1" x14ac:dyDescent="0.25">
      <c r="A43" s="8">
        <v>41</v>
      </c>
      <c r="B43" s="48"/>
      <c r="C43" s="48"/>
      <c r="D43" s="48"/>
      <c r="E43" s="49"/>
      <c r="F43" s="49"/>
      <c r="G43" s="49"/>
      <c r="H43" s="49"/>
      <c r="I43" s="49"/>
      <c r="J43" s="49"/>
      <c r="K43" s="49"/>
      <c r="L43" s="49"/>
      <c r="M43" s="49"/>
      <c r="N43" s="49"/>
      <c r="O43" s="49"/>
      <c r="P43" s="49"/>
      <c r="Q43" s="49"/>
      <c r="R43" s="49"/>
      <c r="S43" s="49"/>
      <c r="T43" s="49"/>
      <c r="U43" s="49"/>
      <c r="V43" s="49"/>
      <c r="W43" s="49"/>
      <c r="X43" s="49"/>
      <c r="Y43" s="49"/>
      <c r="Z43" s="49"/>
      <c r="AA43" s="49"/>
      <c r="AB43" s="49"/>
      <c r="AC43" s="49"/>
      <c r="AD43" s="49"/>
      <c r="AE43" s="49"/>
      <c r="AF43" s="49"/>
      <c r="AG43" s="49"/>
      <c r="AH43" s="49"/>
      <c r="AI43" s="49"/>
      <c r="AJ43" s="49"/>
      <c r="AK43" s="49"/>
      <c r="AL43" s="40">
        <f t="shared" si="0"/>
        <v>0</v>
      </c>
      <c r="AM43" s="37">
        <f t="shared" si="1"/>
        <v>0</v>
      </c>
      <c r="AN43" s="37">
        <f t="shared" si="2"/>
        <v>0</v>
      </c>
      <c r="AO43" s="38" t="e">
        <f t="shared" si="3"/>
        <v>#DIV/0!</v>
      </c>
      <c r="AP43" s="38" t="e">
        <f t="shared" si="4"/>
        <v>#DIV/0!</v>
      </c>
      <c r="AQ43" s="39" t="e">
        <f t="shared" si="5"/>
        <v>#DIV/0!</v>
      </c>
    </row>
    <row r="44" spans="1:43" ht="20.100000000000001" customHeight="1" x14ac:dyDescent="0.25">
      <c r="A44" s="8">
        <v>42</v>
      </c>
      <c r="B44" s="48"/>
      <c r="C44" s="48"/>
      <c r="D44" s="48"/>
      <c r="E44" s="49"/>
      <c r="F44" s="49"/>
      <c r="G44" s="49"/>
      <c r="H44" s="49"/>
      <c r="I44" s="49"/>
      <c r="J44" s="49"/>
      <c r="K44" s="49"/>
      <c r="L44" s="49"/>
      <c r="M44" s="49"/>
      <c r="N44" s="49"/>
      <c r="O44" s="49"/>
      <c r="P44" s="49"/>
      <c r="Q44" s="49"/>
      <c r="R44" s="49"/>
      <c r="S44" s="49"/>
      <c r="T44" s="49"/>
      <c r="U44" s="49"/>
      <c r="V44" s="49"/>
      <c r="W44" s="49"/>
      <c r="X44" s="49"/>
      <c r="Y44" s="49"/>
      <c r="Z44" s="49"/>
      <c r="AA44" s="49"/>
      <c r="AB44" s="49"/>
      <c r="AC44" s="49"/>
      <c r="AD44" s="49"/>
      <c r="AE44" s="49"/>
      <c r="AF44" s="49"/>
      <c r="AG44" s="49"/>
      <c r="AH44" s="49"/>
      <c r="AI44" s="49"/>
      <c r="AJ44" s="49"/>
      <c r="AK44" s="49"/>
      <c r="AL44" s="40">
        <f t="shared" si="0"/>
        <v>0</v>
      </c>
      <c r="AM44" s="37">
        <f t="shared" si="1"/>
        <v>0</v>
      </c>
      <c r="AN44" s="37">
        <f t="shared" si="2"/>
        <v>0</v>
      </c>
      <c r="AO44" s="38" t="e">
        <f t="shared" si="3"/>
        <v>#DIV/0!</v>
      </c>
      <c r="AP44" s="38" t="e">
        <f t="shared" si="4"/>
        <v>#DIV/0!</v>
      </c>
      <c r="AQ44" s="39" t="e">
        <f t="shared" si="5"/>
        <v>#DIV/0!</v>
      </c>
    </row>
    <row r="45" spans="1:43" ht="20.100000000000001" customHeight="1" x14ac:dyDescent="0.25">
      <c r="A45" s="8">
        <v>43</v>
      </c>
      <c r="B45" s="48"/>
      <c r="C45" s="48"/>
      <c r="D45" s="48"/>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0">
        <f t="shared" si="0"/>
        <v>0</v>
      </c>
      <c r="AM45" s="37">
        <f t="shared" si="1"/>
        <v>0</v>
      </c>
      <c r="AN45" s="37">
        <f t="shared" si="2"/>
        <v>0</v>
      </c>
      <c r="AO45" s="38" t="e">
        <f t="shared" si="3"/>
        <v>#DIV/0!</v>
      </c>
      <c r="AP45" s="38" t="e">
        <f t="shared" si="4"/>
        <v>#DIV/0!</v>
      </c>
      <c r="AQ45" s="39" t="e">
        <f t="shared" si="5"/>
        <v>#DIV/0!</v>
      </c>
    </row>
    <row r="46" spans="1:43" ht="20.100000000000001" customHeight="1" x14ac:dyDescent="0.25">
      <c r="A46" s="8">
        <v>44</v>
      </c>
      <c r="B46" s="48"/>
      <c r="C46" s="48"/>
      <c r="D46" s="48"/>
      <c r="E46" s="49"/>
      <c r="F46" s="49"/>
      <c r="G46" s="49"/>
      <c r="H46" s="49"/>
      <c r="I46" s="49"/>
      <c r="J46" s="49"/>
      <c r="K46" s="49"/>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0">
        <f t="shared" si="0"/>
        <v>0</v>
      </c>
      <c r="AM46" s="37">
        <f t="shared" si="1"/>
        <v>0</v>
      </c>
      <c r="AN46" s="37">
        <f t="shared" si="2"/>
        <v>0</v>
      </c>
      <c r="AO46" s="38" t="e">
        <f t="shared" si="3"/>
        <v>#DIV/0!</v>
      </c>
      <c r="AP46" s="38" t="e">
        <f t="shared" si="4"/>
        <v>#DIV/0!</v>
      </c>
      <c r="AQ46" s="39" t="e">
        <f t="shared" si="5"/>
        <v>#DIV/0!</v>
      </c>
    </row>
    <row r="47" spans="1:43" ht="20.100000000000001" customHeight="1" x14ac:dyDescent="0.25">
      <c r="A47" s="8">
        <v>45</v>
      </c>
      <c r="B47" s="48"/>
      <c r="C47" s="48"/>
      <c r="D47" s="48"/>
      <c r="E47" s="49"/>
      <c r="F47" s="49"/>
      <c r="G47" s="49"/>
      <c r="H47" s="49"/>
      <c r="I47" s="49"/>
      <c r="J47" s="49"/>
      <c r="K47" s="49"/>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0">
        <f t="shared" si="0"/>
        <v>0</v>
      </c>
      <c r="AM47" s="37">
        <f t="shared" si="1"/>
        <v>0</v>
      </c>
      <c r="AN47" s="37">
        <f t="shared" si="2"/>
        <v>0</v>
      </c>
      <c r="AO47" s="38" t="e">
        <f t="shared" si="3"/>
        <v>#DIV/0!</v>
      </c>
      <c r="AP47" s="38" t="e">
        <f t="shared" si="4"/>
        <v>#DIV/0!</v>
      </c>
      <c r="AQ47" s="39" t="e">
        <f t="shared" si="5"/>
        <v>#DIV/0!</v>
      </c>
    </row>
    <row r="48" spans="1:43" ht="20.100000000000001" customHeight="1" x14ac:dyDescent="0.25">
      <c r="A48" s="8">
        <v>46</v>
      </c>
      <c r="B48" s="48"/>
      <c r="C48" s="48"/>
      <c r="D48" s="48"/>
      <c r="E48" s="49"/>
      <c r="F48" s="49"/>
      <c r="G48" s="49"/>
      <c r="H48" s="49"/>
      <c r="I48" s="49"/>
      <c r="J48" s="49"/>
      <c r="K48" s="49"/>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0">
        <f t="shared" si="0"/>
        <v>0</v>
      </c>
      <c r="AM48" s="37">
        <f t="shared" si="1"/>
        <v>0</v>
      </c>
      <c r="AN48" s="37">
        <f t="shared" si="2"/>
        <v>0</v>
      </c>
      <c r="AO48" s="38" t="e">
        <f t="shared" si="3"/>
        <v>#DIV/0!</v>
      </c>
      <c r="AP48" s="38" t="e">
        <f t="shared" si="4"/>
        <v>#DIV/0!</v>
      </c>
      <c r="AQ48" s="39" t="e">
        <f t="shared" si="5"/>
        <v>#DIV/0!</v>
      </c>
    </row>
    <row r="49" spans="1:43" ht="20.100000000000001" customHeight="1" x14ac:dyDescent="0.25">
      <c r="A49" s="8">
        <v>47</v>
      </c>
      <c r="B49" s="48"/>
      <c r="C49" s="48"/>
      <c r="D49" s="48"/>
      <c r="E49" s="49"/>
      <c r="F49" s="49"/>
      <c r="G49" s="49"/>
      <c r="H49" s="49"/>
      <c r="I49" s="49"/>
      <c r="J49" s="49"/>
      <c r="K49" s="49"/>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0">
        <f t="shared" si="0"/>
        <v>0</v>
      </c>
      <c r="AM49" s="37">
        <f t="shared" si="1"/>
        <v>0</v>
      </c>
      <c r="AN49" s="37">
        <f t="shared" si="2"/>
        <v>0</v>
      </c>
      <c r="AO49" s="38" t="e">
        <f t="shared" si="3"/>
        <v>#DIV/0!</v>
      </c>
      <c r="AP49" s="38" t="e">
        <f t="shared" si="4"/>
        <v>#DIV/0!</v>
      </c>
      <c r="AQ49" s="39" t="e">
        <f t="shared" si="5"/>
        <v>#DIV/0!</v>
      </c>
    </row>
    <row r="50" spans="1:43" ht="20.100000000000001" customHeight="1" x14ac:dyDescent="0.25">
      <c r="A50" s="8">
        <v>48</v>
      </c>
      <c r="B50" s="48"/>
      <c r="C50" s="48"/>
      <c r="D50" s="48"/>
      <c r="E50" s="49"/>
      <c r="F50" s="49"/>
      <c r="G50" s="49"/>
      <c r="H50" s="49"/>
      <c r="I50" s="49"/>
      <c r="J50" s="49"/>
      <c r="K50" s="49"/>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0">
        <f t="shared" si="0"/>
        <v>0</v>
      </c>
      <c r="AM50" s="37">
        <f t="shared" si="1"/>
        <v>0</v>
      </c>
      <c r="AN50" s="37">
        <f t="shared" si="2"/>
        <v>0</v>
      </c>
      <c r="AO50" s="38" t="e">
        <f t="shared" si="3"/>
        <v>#DIV/0!</v>
      </c>
      <c r="AP50" s="38" t="e">
        <f t="shared" si="4"/>
        <v>#DIV/0!</v>
      </c>
      <c r="AQ50" s="39" t="e">
        <f t="shared" si="5"/>
        <v>#DIV/0!</v>
      </c>
    </row>
    <row r="51" spans="1:43" ht="20.100000000000001" customHeight="1" x14ac:dyDescent="0.25">
      <c r="A51" s="8">
        <v>49</v>
      </c>
      <c r="B51" s="48"/>
      <c r="C51" s="48"/>
      <c r="D51" s="48"/>
      <c r="E51" s="49"/>
      <c r="F51" s="49"/>
      <c r="G51" s="49"/>
      <c r="H51" s="49"/>
      <c r="I51" s="49"/>
      <c r="J51" s="49"/>
      <c r="K51" s="49"/>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0">
        <f t="shared" si="0"/>
        <v>0</v>
      </c>
      <c r="AM51" s="37">
        <f t="shared" si="1"/>
        <v>0</v>
      </c>
      <c r="AN51" s="37">
        <f t="shared" si="2"/>
        <v>0</v>
      </c>
      <c r="AO51" s="38" t="e">
        <f t="shared" si="3"/>
        <v>#DIV/0!</v>
      </c>
      <c r="AP51" s="38" t="e">
        <f t="shared" si="4"/>
        <v>#DIV/0!</v>
      </c>
      <c r="AQ51" s="39" t="e">
        <f t="shared" si="5"/>
        <v>#DIV/0!</v>
      </c>
    </row>
    <row r="52" spans="1:43" ht="20.100000000000001" customHeight="1" x14ac:dyDescent="0.25">
      <c r="A52" s="8">
        <v>50</v>
      </c>
      <c r="B52" s="48"/>
      <c r="C52" s="48"/>
      <c r="D52" s="48"/>
      <c r="E52" s="49"/>
      <c r="F52" s="49"/>
      <c r="G52" s="49"/>
      <c r="H52" s="49"/>
      <c r="I52" s="49"/>
      <c r="J52" s="49"/>
      <c r="K52" s="49"/>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0">
        <f t="shared" si="0"/>
        <v>0</v>
      </c>
      <c r="AM52" s="37">
        <f t="shared" si="1"/>
        <v>0</v>
      </c>
      <c r="AN52" s="37">
        <f t="shared" si="2"/>
        <v>0</v>
      </c>
      <c r="AO52" s="38" t="e">
        <f t="shared" si="3"/>
        <v>#DIV/0!</v>
      </c>
      <c r="AP52" s="38" t="e">
        <f t="shared" si="4"/>
        <v>#DIV/0!</v>
      </c>
      <c r="AQ52" s="39" t="e">
        <f t="shared" si="5"/>
        <v>#DIV/0!</v>
      </c>
    </row>
    <row r="53" spans="1:43" ht="20.100000000000001" customHeight="1" x14ac:dyDescent="0.25">
      <c r="A53" s="8">
        <v>51</v>
      </c>
      <c r="B53" s="48"/>
      <c r="C53" s="48"/>
      <c r="D53" s="48"/>
      <c r="E53" s="49"/>
      <c r="F53" s="49"/>
      <c r="G53" s="49"/>
      <c r="H53" s="49"/>
      <c r="I53" s="49"/>
      <c r="J53" s="49"/>
      <c r="K53" s="49"/>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0">
        <f t="shared" si="0"/>
        <v>0</v>
      </c>
      <c r="AM53" s="37">
        <f t="shared" si="1"/>
        <v>0</v>
      </c>
      <c r="AN53" s="37">
        <f t="shared" si="2"/>
        <v>0</v>
      </c>
      <c r="AO53" s="38" t="e">
        <f t="shared" si="3"/>
        <v>#DIV/0!</v>
      </c>
      <c r="AP53" s="38" t="e">
        <f t="shared" si="4"/>
        <v>#DIV/0!</v>
      </c>
      <c r="AQ53" s="39" t="e">
        <f t="shared" si="5"/>
        <v>#DIV/0!</v>
      </c>
    </row>
    <row r="54" spans="1:43" ht="20.100000000000001" customHeight="1" x14ac:dyDescent="0.25">
      <c r="A54" s="8">
        <v>52</v>
      </c>
      <c r="B54" s="48"/>
      <c r="C54" s="48"/>
      <c r="D54" s="48"/>
      <c r="E54" s="49"/>
      <c r="F54" s="49"/>
      <c r="G54" s="49"/>
      <c r="H54" s="49"/>
      <c r="I54" s="49"/>
      <c r="J54" s="49"/>
      <c r="K54" s="49"/>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0">
        <f t="shared" si="0"/>
        <v>0</v>
      </c>
      <c r="AM54" s="37">
        <f t="shared" si="1"/>
        <v>0</v>
      </c>
      <c r="AN54" s="37">
        <f t="shared" si="2"/>
        <v>0</v>
      </c>
      <c r="AO54" s="38" t="e">
        <f t="shared" si="3"/>
        <v>#DIV/0!</v>
      </c>
      <c r="AP54" s="38" t="e">
        <f t="shared" si="4"/>
        <v>#DIV/0!</v>
      </c>
      <c r="AQ54" s="39" t="e">
        <f t="shared" si="5"/>
        <v>#DIV/0!</v>
      </c>
    </row>
    <row r="55" spans="1:43" ht="20.100000000000001" customHeight="1" x14ac:dyDescent="0.25">
      <c r="A55" s="8">
        <v>53</v>
      </c>
      <c r="B55" s="48"/>
      <c r="C55" s="48"/>
      <c r="D55" s="48"/>
      <c r="E55" s="49"/>
      <c r="F55" s="49"/>
      <c r="G55" s="49"/>
      <c r="H55" s="49"/>
      <c r="I55" s="49"/>
      <c r="J55" s="49"/>
      <c r="K55" s="49"/>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49"/>
      <c r="AL55" s="40">
        <f t="shared" si="0"/>
        <v>0</v>
      </c>
      <c r="AM55" s="37">
        <f t="shared" si="1"/>
        <v>0</v>
      </c>
      <c r="AN55" s="37">
        <f t="shared" si="2"/>
        <v>0</v>
      </c>
      <c r="AO55" s="38" t="e">
        <f t="shared" si="3"/>
        <v>#DIV/0!</v>
      </c>
      <c r="AP55" s="38" t="e">
        <f t="shared" si="4"/>
        <v>#DIV/0!</v>
      </c>
      <c r="AQ55" s="39" t="e">
        <f t="shared" si="5"/>
        <v>#DIV/0!</v>
      </c>
    </row>
    <row r="56" spans="1:43" ht="20.100000000000001" customHeight="1" x14ac:dyDescent="0.25">
      <c r="A56" s="8">
        <v>54</v>
      </c>
      <c r="B56" s="48"/>
      <c r="C56" s="48"/>
      <c r="D56" s="48"/>
      <c r="E56" s="49"/>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49"/>
      <c r="AL56" s="40">
        <f t="shared" si="0"/>
        <v>0</v>
      </c>
      <c r="AM56" s="37">
        <f t="shared" si="1"/>
        <v>0</v>
      </c>
      <c r="AN56" s="37">
        <f t="shared" si="2"/>
        <v>0</v>
      </c>
      <c r="AO56" s="38" t="e">
        <f t="shared" si="3"/>
        <v>#DIV/0!</v>
      </c>
      <c r="AP56" s="38" t="e">
        <f t="shared" si="4"/>
        <v>#DIV/0!</v>
      </c>
      <c r="AQ56" s="39" t="e">
        <f t="shared" si="5"/>
        <v>#DIV/0!</v>
      </c>
    </row>
    <row r="57" spans="1:43" ht="20.100000000000001" customHeight="1" x14ac:dyDescent="0.25">
      <c r="A57" s="8">
        <v>55</v>
      </c>
      <c r="B57" s="48"/>
      <c r="C57" s="48"/>
      <c r="D57" s="48"/>
      <c r="E57" s="49"/>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49"/>
      <c r="AL57" s="40">
        <f t="shared" si="0"/>
        <v>0</v>
      </c>
      <c r="AM57" s="37">
        <f t="shared" si="1"/>
        <v>0</v>
      </c>
      <c r="AN57" s="37">
        <f t="shared" si="2"/>
        <v>0</v>
      </c>
      <c r="AO57" s="38" t="e">
        <f t="shared" si="3"/>
        <v>#DIV/0!</v>
      </c>
      <c r="AP57" s="38" t="e">
        <f t="shared" si="4"/>
        <v>#DIV/0!</v>
      </c>
      <c r="AQ57" s="39" t="e">
        <f t="shared" si="5"/>
        <v>#DIV/0!</v>
      </c>
    </row>
    <row r="58" spans="1:43" ht="20.100000000000001" customHeight="1" x14ac:dyDescent="0.25">
      <c r="A58" s="8">
        <v>56</v>
      </c>
      <c r="B58" s="48"/>
      <c r="C58" s="48"/>
      <c r="D58" s="48"/>
      <c r="E58" s="49"/>
      <c r="F58" s="49"/>
      <c r="G58" s="49"/>
      <c r="H58" s="49"/>
      <c r="I58" s="49"/>
      <c r="J58" s="49"/>
      <c r="K58" s="49"/>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c r="AK58" s="49"/>
      <c r="AL58" s="40">
        <f t="shared" si="0"/>
        <v>0</v>
      </c>
      <c r="AM58" s="37">
        <f t="shared" si="1"/>
        <v>0</v>
      </c>
      <c r="AN58" s="37">
        <f t="shared" si="2"/>
        <v>0</v>
      </c>
      <c r="AO58" s="38" t="e">
        <f t="shared" si="3"/>
        <v>#DIV/0!</v>
      </c>
      <c r="AP58" s="38" t="e">
        <f t="shared" si="4"/>
        <v>#DIV/0!</v>
      </c>
      <c r="AQ58" s="39" t="e">
        <f t="shared" si="5"/>
        <v>#DIV/0!</v>
      </c>
    </row>
    <row r="59" spans="1:43" ht="20.100000000000001" customHeight="1" x14ac:dyDescent="0.25">
      <c r="A59" s="8">
        <v>57</v>
      </c>
      <c r="B59" s="48"/>
      <c r="C59" s="48"/>
      <c r="D59" s="48"/>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0">
        <f t="shared" si="0"/>
        <v>0</v>
      </c>
      <c r="AM59" s="37">
        <f t="shared" si="1"/>
        <v>0</v>
      </c>
      <c r="AN59" s="37">
        <f t="shared" si="2"/>
        <v>0</v>
      </c>
      <c r="AO59" s="38" t="e">
        <f t="shared" si="3"/>
        <v>#DIV/0!</v>
      </c>
      <c r="AP59" s="38" t="e">
        <f t="shared" si="4"/>
        <v>#DIV/0!</v>
      </c>
      <c r="AQ59" s="39" t="e">
        <f t="shared" si="5"/>
        <v>#DIV/0!</v>
      </c>
    </row>
    <row r="60" spans="1:43" ht="20.100000000000001" customHeight="1" x14ac:dyDescent="0.25">
      <c r="A60" s="8">
        <v>58</v>
      </c>
      <c r="B60" s="48"/>
      <c r="C60" s="48"/>
      <c r="D60" s="48"/>
      <c r="E60" s="49"/>
      <c r="F60" s="49"/>
      <c r="G60" s="49"/>
      <c r="H60" s="49"/>
      <c r="I60" s="49"/>
      <c r="J60" s="49"/>
      <c r="K60" s="49"/>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c r="AK60" s="49"/>
      <c r="AL60" s="40">
        <f t="shared" si="0"/>
        <v>0</v>
      </c>
      <c r="AM60" s="37">
        <f t="shared" si="1"/>
        <v>0</v>
      </c>
      <c r="AN60" s="37">
        <f t="shared" si="2"/>
        <v>0</v>
      </c>
      <c r="AO60" s="38" t="e">
        <f t="shared" si="3"/>
        <v>#DIV/0!</v>
      </c>
      <c r="AP60" s="38" t="e">
        <f t="shared" si="4"/>
        <v>#DIV/0!</v>
      </c>
      <c r="AQ60" s="39" t="e">
        <f t="shared" si="5"/>
        <v>#DIV/0!</v>
      </c>
    </row>
    <row r="61" spans="1:43" ht="20.100000000000001" customHeight="1" x14ac:dyDescent="0.25">
      <c r="A61" s="8">
        <v>59</v>
      </c>
      <c r="B61" s="48"/>
      <c r="C61" s="48"/>
      <c r="D61" s="48"/>
      <c r="E61" s="49"/>
      <c r="F61" s="49"/>
      <c r="G61" s="49"/>
      <c r="H61" s="49"/>
      <c r="I61" s="49"/>
      <c r="J61" s="49"/>
      <c r="K61" s="49"/>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c r="AL61" s="40">
        <f t="shared" si="0"/>
        <v>0</v>
      </c>
      <c r="AM61" s="37">
        <f t="shared" si="1"/>
        <v>0</v>
      </c>
      <c r="AN61" s="37">
        <f t="shared" si="2"/>
        <v>0</v>
      </c>
      <c r="AO61" s="38" t="e">
        <f t="shared" si="3"/>
        <v>#DIV/0!</v>
      </c>
      <c r="AP61" s="38" t="e">
        <f t="shared" si="4"/>
        <v>#DIV/0!</v>
      </c>
      <c r="AQ61" s="39" t="e">
        <f t="shared" si="5"/>
        <v>#DIV/0!</v>
      </c>
    </row>
    <row r="62" spans="1:43" ht="20.100000000000001" customHeight="1" x14ac:dyDescent="0.25">
      <c r="A62" s="8">
        <v>60</v>
      </c>
      <c r="B62" s="48"/>
      <c r="C62" s="48"/>
      <c r="D62" s="48"/>
      <c r="E62" s="49"/>
      <c r="F62" s="49"/>
      <c r="G62" s="49"/>
      <c r="H62" s="49"/>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c r="AL62" s="40">
        <f t="shared" si="0"/>
        <v>0</v>
      </c>
      <c r="AM62" s="37">
        <f t="shared" si="1"/>
        <v>0</v>
      </c>
      <c r="AN62" s="37">
        <f t="shared" si="2"/>
        <v>0</v>
      </c>
      <c r="AO62" s="38" t="e">
        <f t="shared" si="3"/>
        <v>#DIV/0!</v>
      </c>
      <c r="AP62" s="38" t="e">
        <f t="shared" si="4"/>
        <v>#DIV/0!</v>
      </c>
      <c r="AQ62" s="39" t="e">
        <f t="shared" si="5"/>
        <v>#DIV/0!</v>
      </c>
    </row>
    <row r="63" spans="1:43" ht="20.100000000000001" customHeight="1" x14ac:dyDescent="0.25">
      <c r="A63" s="8">
        <v>61</v>
      </c>
      <c r="B63" s="48"/>
      <c r="C63" s="48"/>
      <c r="D63" s="48"/>
      <c r="E63" s="49"/>
      <c r="F63" s="49"/>
      <c r="G63" s="49"/>
      <c r="H63" s="49"/>
      <c r="I63" s="49"/>
      <c r="J63" s="49"/>
      <c r="K63" s="49"/>
      <c r="L63" s="49"/>
      <c r="M63" s="49"/>
      <c r="N63" s="49"/>
      <c r="O63" s="49"/>
      <c r="P63" s="49"/>
      <c r="Q63" s="49"/>
      <c r="R63" s="49"/>
      <c r="S63" s="49"/>
      <c r="T63" s="49"/>
      <c r="U63" s="49"/>
      <c r="V63" s="49"/>
      <c r="W63" s="49"/>
      <c r="X63" s="49"/>
      <c r="Y63" s="49"/>
      <c r="Z63" s="49"/>
      <c r="AA63" s="49"/>
      <c r="AB63" s="49"/>
      <c r="AC63" s="49"/>
      <c r="AD63" s="49"/>
      <c r="AE63" s="49"/>
      <c r="AF63" s="49"/>
      <c r="AG63" s="49"/>
      <c r="AH63" s="49"/>
      <c r="AI63" s="49"/>
      <c r="AJ63" s="49"/>
      <c r="AK63" s="49"/>
      <c r="AL63" s="40">
        <f t="shared" si="0"/>
        <v>0</v>
      </c>
      <c r="AM63" s="37">
        <f t="shared" si="1"/>
        <v>0</v>
      </c>
      <c r="AN63" s="37">
        <f t="shared" si="2"/>
        <v>0</v>
      </c>
      <c r="AO63" s="38" t="e">
        <f t="shared" si="3"/>
        <v>#DIV/0!</v>
      </c>
      <c r="AP63" s="38" t="e">
        <f t="shared" si="4"/>
        <v>#DIV/0!</v>
      </c>
      <c r="AQ63" s="39" t="e">
        <f t="shared" si="5"/>
        <v>#DIV/0!</v>
      </c>
    </row>
    <row r="64" spans="1:43" ht="20.100000000000001" customHeight="1" x14ac:dyDescent="0.25">
      <c r="A64" s="8">
        <v>62</v>
      </c>
      <c r="B64" s="48"/>
      <c r="C64" s="48"/>
      <c r="D64" s="48"/>
      <c r="E64" s="49"/>
      <c r="F64" s="49"/>
      <c r="G64" s="49"/>
      <c r="H64" s="49"/>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c r="AK64" s="49"/>
      <c r="AL64" s="40">
        <f t="shared" si="0"/>
        <v>0</v>
      </c>
      <c r="AM64" s="37">
        <f t="shared" si="1"/>
        <v>0</v>
      </c>
      <c r="AN64" s="37">
        <f t="shared" si="2"/>
        <v>0</v>
      </c>
      <c r="AO64" s="38" t="e">
        <f t="shared" si="3"/>
        <v>#DIV/0!</v>
      </c>
      <c r="AP64" s="38" t="e">
        <f t="shared" si="4"/>
        <v>#DIV/0!</v>
      </c>
      <c r="AQ64" s="39" t="e">
        <f t="shared" si="5"/>
        <v>#DIV/0!</v>
      </c>
    </row>
    <row r="65" spans="1:43" ht="20.100000000000001" customHeight="1" x14ac:dyDescent="0.25">
      <c r="A65" s="8">
        <v>63</v>
      </c>
      <c r="B65" s="48"/>
      <c r="C65" s="48"/>
      <c r="D65" s="48"/>
      <c r="E65" s="49"/>
      <c r="F65" s="49"/>
      <c r="G65" s="49"/>
      <c r="H65" s="49"/>
      <c r="I65" s="49"/>
      <c r="J65" s="49"/>
      <c r="K65" s="49"/>
      <c r="L65" s="49"/>
      <c r="M65" s="49"/>
      <c r="N65" s="49"/>
      <c r="O65" s="49"/>
      <c r="P65" s="49"/>
      <c r="Q65" s="49"/>
      <c r="R65" s="49"/>
      <c r="S65" s="49"/>
      <c r="T65" s="49"/>
      <c r="U65" s="49"/>
      <c r="V65" s="49"/>
      <c r="W65" s="49"/>
      <c r="X65" s="49"/>
      <c r="Y65" s="49"/>
      <c r="Z65" s="49"/>
      <c r="AA65" s="49"/>
      <c r="AB65" s="49"/>
      <c r="AC65" s="49"/>
      <c r="AD65" s="49"/>
      <c r="AE65" s="49"/>
      <c r="AF65" s="49"/>
      <c r="AG65" s="49"/>
      <c r="AH65" s="49"/>
      <c r="AI65" s="49"/>
      <c r="AJ65" s="49"/>
      <c r="AK65" s="49"/>
      <c r="AL65" s="40">
        <f t="shared" si="0"/>
        <v>0</v>
      </c>
      <c r="AM65" s="37">
        <f t="shared" si="1"/>
        <v>0</v>
      </c>
      <c r="AN65" s="37">
        <f t="shared" si="2"/>
        <v>0</v>
      </c>
      <c r="AO65" s="38" t="e">
        <f t="shared" si="3"/>
        <v>#DIV/0!</v>
      </c>
      <c r="AP65" s="38" t="e">
        <f t="shared" si="4"/>
        <v>#DIV/0!</v>
      </c>
      <c r="AQ65" s="39" t="e">
        <f t="shared" si="5"/>
        <v>#DIV/0!</v>
      </c>
    </row>
    <row r="66" spans="1:43" ht="20.100000000000001" customHeight="1" x14ac:dyDescent="0.25">
      <c r="A66" s="8">
        <v>64</v>
      </c>
      <c r="B66" s="48"/>
      <c r="C66" s="48"/>
      <c r="D66" s="48"/>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0">
        <f t="shared" si="0"/>
        <v>0</v>
      </c>
      <c r="AM66" s="37">
        <f t="shared" si="1"/>
        <v>0</v>
      </c>
      <c r="AN66" s="37">
        <f t="shared" si="2"/>
        <v>0</v>
      </c>
      <c r="AO66" s="38" t="e">
        <f t="shared" si="3"/>
        <v>#DIV/0!</v>
      </c>
      <c r="AP66" s="38" t="e">
        <f t="shared" si="4"/>
        <v>#DIV/0!</v>
      </c>
      <c r="AQ66" s="39" t="e">
        <f t="shared" si="5"/>
        <v>#DIV/0!</v>
      </c>
    </row>
    <row r="67" spans="1:43" ht="20.100000000000001" customHeight="1" x14ac:dyDescent="0.25">
      <c r="A67" s="8">
        <v>65</v>
      </c>
      <c r="B67" s="48"/>
      <c r="C67" s="48"/>
      <c r="D67" s="48"/>
      <c r="E67" s="49"/>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0">
        <f t="shared" ref="AL67:AL130" si="6">COUNTIF($H67:$AK67,1)</f>
        <v>0</v>
      </c>
      <c r="AM67" s="37">
        <f t="shared" ref="AM67:AM130" si="7">COUNTIF($H67:$AK67,0)</f>
        <v>0</v>
      </c>
      <c r="AN67" s="37">
        <f t="shared" si="2"/>
        <v>0</v>
      </c>
      <c r="AO67" s="38" t="e">
        <f t="shared" si="3"/>
        <v>#DIV/0!</v>
      </c>
      <c r="AP67" s="38" t="e">
        <f t="shared" si="4"/>
        <v>#DIV/0!</v>
      </c>
      <c r="AQ67" s="39" t="e">
        <f t="shared" si="5"/>
        <v>#DIV/0!</v>
      </c>
    </row>
    <row r="68" spans="1:43" ht="20.100000000000001" customHeight="1" x14ac:dyDescent="0.25">
      <c r="A68" s="8">
        <v>66</v>
      </c>
      <c r="B68" s="48"/>
      <c r="C68" s="48"/>
      <c r="D68" s="48"/>
      <c r="E68" s="49"/>
      <c r="F68" s="49"/>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c r="AL68" s="40">
        <f t="shared" si="6"/>
        <v>0</v>
      </c>
      <c r="AM68" s="37">
        <f t="shared" si="7"/>
        <v>0</v>
      </c>
      <c r="AN68" s="37">
        <f t="shared" ref="AN68:AN131" si="8">SUM(AL68:AM68)</f>
        <v>0</v>
      </c>
      <c r="AO68" s="38" t="e">
        <f t="shared" ref="AO68:AO131" si="9">(AL68/AN68)*100</f>
        <v>#DIV/0!</v>
      </c>
      <c r="AP68" s="38" t="e">
        <f t="shared" ref="AP68:AP131" si="10">(AM68/AN68)*100</f>
        <v>#DIV/0!</v>
      </c>
      <c r="AQ68" s="39" t="e">
        <f t="shared" ref="AQ68:AQ131" si="11">SUM(AO68:AP68)</f>
        <v>#DIV/0!</v>
      </c>
    </row>
    <row r="69" spans="1:43" ht="20.100000000000001" customHeight="1" x14ac:dyDescent="0.25">
      <c r="A69" s="8">
        <v>67</v>
      </c>
      <c r="B69" s="48"/>
      <c r="C69" s="48"/>
      <c r="D69" s="48"/>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c r="AL69" s="40">
        <f t="shared" si="6"/>
        <v>0</v>
      </c>
      <c r="AM69" s="37">
        <f t="shared" si="7"/>
        <v>0</v>
      </c>
      <c r="AN69" s="37">
        <f t="shared" si="8"/>
        <v>0</v>
      </c>
      <c r="AO69" s="38" t="e">
        <f t="shared" si="9"/>
        <v>#DIV/0!</v>
      </c>
      <c r="AP69" s="38" t="e">
        <f t="shared" si="10"/>
        <v>#DIV/0!</v>
      </c>
      <c r="AQ69" s="39" t="e">
        <f t="shared" si="11"/>
        <v>#DIV/0!</v>
      </c>
    </row>
    <row r="70" spans="1:43" ht="20.100000000000001" customHeight="1" x14ac:dyDescent="0.25">
      <c r="A70" s="8">
        <v>68</v>
      </c>
      <c r="B70" s="48"/>
      <c r="C70" s="48"/>
      <c r="D70" s="48"/>
      <c r="E70" s="49"/>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G70" s="49"/>
      <c r="AH70" s="49"/>
      <c r="AI70" s="49"/>
      <c r="AJ70" s="49"/>
      <c r="AK70" s="49"/>
      <c r="AL70" s="40">
        <f t="shared" si="6"/>
        <v>0</v>
      </c>
      <c r="AM70" s="37">
        <f t="shared" si="7"/>
        <v>0</v>
      </c>
      <c r="AN70" s="37">
        <f t="shared" si="8"/>
        <v>0</v>
      </c>
      <c r="AO70" s="38" t="e">
        <f t="shared" si="9"/>
        <v>#DIV/0!</v>
      </c>
      <c r="AP70" s="38" t="e">
        <f t="shared" si="10"/>
        <v>#DIV/0!</v>
      </c>
      <c r="AQ70" s="39" t="e">
        <f t="shared" si="11"/>
        <v>#DIV/0!</v>
      </c>
    </row>
    <row r="71" spans="1:43" ht="20.100000000000001" customHeight="1" x14ac:dyDescent="0.25">
      <c r="A71" s="8">
        <v>69</v>
      </c>
      <c r="B71" s="48"/>
      <c r="C71" s="48"/>
      <c r="D71" s="48"/>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c r="AK71" s="49"/>
      <c r="AL71" s="40">
        <f t="shared" si="6"/>
        <v>0</v>
      </c>
      <c r="AM71" s="37">
        <f t="shared" si="7"/>
        <v>0</v>
      </c>
      <c r="AN71" s="37">
        <f t="shared" si="8"/>
        <v>0</v>
      </c>
      <c r="AO71" s="38" t="e">
        <f t="shared" si="9"/>
        <v>#DIV/0!</v>
      </c>
      <c r="AP71" s="38" t="e">
        <f t="shared" si="10"/>
        <v>#DIV/0!</v>
      </c>
      <c r="AQ71" s="39" t="e">
        <f t="shared" si="11"/>
        <v>#DIV/0!</v>
      </c>
    </row>
    <row r="72" spans="1:43" ht="20.100000000000001" customHeight="1" x14ac:dyDescent="0.25">
      <c r="A72" s="8">
        <v>70</v>
      </c>
      <c r="B72" s="48"/>
      <c r="C72" s="48"/>
      <c r="D72" s="48"/>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c r="AK72" s="49"/>
      <c r="AL72" s="40">
        <f t="shared" si="6"/>
        <v>0</v>
      </c>
      <c r="AM72" s="37">
        <f t="shared" si="7"/>
        <v>0</v>
      </c>
      <c r="AN72" s="37">
        <f t="shared" si="8"/>
        <v>0</v>
      </c>
      <c r="AO72" s="38" t="e">
        <f t="shared" si="9"/>
        <v>#DIV/0!</v>
      </c>
      <c r="AP72" s="38" t="e">
        <f t="shared" si="10"/>
        <v>#DIV/0!</v>
      </c>
      <c r="AQ72" s="39" t="e">
        <f t="shared" si="11"/>
        <v>#DIV/0!</v>
      </c>
    </row>
    <row r="73" spans="1:43" ht="20.100000000000001" customHeight="1" x14ac:dyDescent="0.25">
      <c r="A73" s="8">
        <v>71</v>
      </c>
      <c r="B73" s="48"/>
      <c r="C73" s="48"/>
      <c r="D73" s="48"/>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G73" s="49"/>
      <c r="AH73" s="49"/>
      <c r="AI73" s="49"/>
      <c r="AJ73" s="49"/>
      <c r="AK73" s="49"/>
      <c r="AL73" s="40">
        <f t="shared" si="6"/>
        <v>0</v>
      </c>
      <c r="AM73" s="37">
        <f t="shared" si="7"/>
        <v>0</v>
      </c>
      <c r="AN73" s="37">
        <f t="shared" si="8"/>
        <v>0</v>
      </c>
      <c r="AO73" s="38" t="e">
        <f t="shared" si="9"/>
        <v>#DIV/0!</v>
      </c>
      <c r="AP73" s="38" t="e">
        <f t="shared" si="10"/>
        <v>#DIV/0!</v>
      </c>
      <c r="AQ73" s="39" t="e">
        <f t="shared" si="11"/>
        <v>#DIV/0!</v>
      </c>
    </row>
    <row r="74" spans="1:43" ht="20.100000000000001" customHeight="1" x14ac:dyDescent="0.25">
      <c r="A74" s="8">
        <v>72</v>
      </c>
      <c r="B74" s="48"/>
      <c r="C74" s="48"/>
      <c r="D74" s="48"/>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G74" s="49"/>
      <c r="AH74" s="49"/>
      <c r="AI74" s="49"/>
      <c r="AJ74" s="49"/>
      <c r="AK74" s="49"/>
      <c r="AL74" s="40">
        <f t="shared" si="6"/>
        <v>0</v>
      </c>
      <c r="AM74" s="37">
        <f t="shared" si="7"/>
        <v>0</v>
      </c>
      <c r="AN74" s="37">
        <f t="shared" si="8"/>
        <v>0</v>
      </c>
      <c r="AO74" s="38" t="e">
        <f t="shared" si="9"/>
        <v>#DIV/0!</v>
      </c>
      <c r="AP74" s="38" t="e">
        <f t="shared" si="10"/>
        <v>#DIV/0!</v>
      </c>
      <c r="AQ74" s="39" t="e">
        <f t="shared" si="11"/>
        <v>#DIV/0!</v>
      </c>
    </row>
    <row r="75" spans="1:43" ht="20.100000000000001" customHeight="1" x14ac:dyDescent="0.25">
      <c r="A75" s="8">
        <v>73</v>
      </c>
      <c r="B75" s="48"/>
      <c r="C75" s="48"/>
      <c r="D75" s="48"/>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G75" s="49"/>
      <c r="AH75" s="49"/>
      <c r="AI75" s="49"/>
      <c r="AJ75" s="49"/>
      <c r="AK75" s="49"/>
      <c r="AL75" s="40">
        <f t="shared" si="6"/>
        <v>0</v>
      </c>
      <c r="AM75" s="37">
        <f t="shared" si="7"/>
        <v>0</v>
      </c>
      <c r="AN75" s="37">
        <f t="shared" si="8"/>
        <v>0</v>
      </c>
      <c r="AO75" s="38" t="e">
        <f t="shared" si="9"/>
        <v>#DIV/0!</v>
      </c>
      <c r="AP75" s="38" t="e">
        <f t="shared" si="10"/>
        <v>#DIV/0!</v>
      </c>
      <c r="AQ75" s="39" t="e">
        <f t="shared" si="11"/>
        <v>#DIV/0!</v>
      </c>
    </row>
    <row r="76" spans="1:43" ht="20.100000000000001" customHeight="1" x14ac:dyDescent="0.25">
      <c r="A76" s="8">
        <v>74</v>
      </c>
      <c r="B76" s="48"/>
      <c r="C76" s="48"/>
      <c r="D76" s="48"/>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0">
        <f t="shared" si="6"/>
        <v>0</v>
      </c>
      <c r="AM76" s="37">
        <f t="shared" si="7"/>
        <v>0</v>
      </c>
      <c r="AN76" s="37">
        <f t="shared" si="8"/>
        <v>0</v>
      </c>
      <c r="AO76" s="38" t="e">
        <f t="shared" si="9"/>
        <v>#DIV/0!</v>
      </c>
      <c r="AP76" s="38" t="e">
        <f t="shared" si="10"/>
        <v>#DIV/0!</v>
      </c>
      <c r="AQ76" s="39" t="e">
        <f t="shared" si="11"/>
        <v>#DIV/0!</v>
      </c>
    </row>
    <row r="77" spans="1:43" ht="20.100000000000001" customHeight="1" x14ac:dyDescent="0.25">
      <c r="A77" s="8">
        <v>75</v>
      </c>
      <c r="B77" s="48"/>
      <c r="C77" s="48"/>
      <c r="D77" s="48"/>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0">
        <f t="shared" si="6"/>
        <v>0</v>
      </c>
      <c r="AM77" s="37">
        <f t="shared" si="7"/>
        <v>0</v>
      </c>
      <c r="AN77" s="37">
        <f t="shared" si="8"/>
        <v>0</v>
      </c>
      <c r="AO77" s="38" t="e">
        <f t="shared" si="9"/>
        <v>#DIV/0!</v>
      </c>
      <c r="AP77" s="38" t="e">
        <f t="shared" si="10"/>
        <v>#DIV/0!</v>
      </c>
      <c r="AQ77" s="39" t="e">
        <f t="shared" si="11"/>
        <v>#DIV/0!</v>
      </c>
    </row>
    <row r="78" spans="1:43" ht="20.100000000000001" customHeight="1" x14ac:dyDescent="0.25">
      <c r="A78" s="8">
        <v>76</v>
      </c>
      <c r="B78" s="48"/>
      <c r="C78" s="48"/>
      <c r="D78" s="48"/>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c r="AK78" s="49"/>
      <c r="AL78" s="40">
        <f t="shared" si="6"/>
        <v>0</v>
      </c>
      <c r="AM78" s="37">
        <f t="shared" si="7"/>
        <v>0</v>
      </c>
      <c r="AN78" s="37">
        <f t="shared" si="8"/>
        <v>0</v>
      </c>
      <c r="AO78" s="38" t="e">
        <f t="shared" si="9"/>
        <v>#DIV/0!</v>
      </c>
      <c r="AP78" s="38" t="e">
        <f t="shared" si="10"/>
        <v>#DIV/0!</v>
      </c>
      <c r="AQ78" s="39" t="e">
        <f t="shared" si="11"/>
        <v>#DIV/0!</v>
      </c>
    </row>
    <row r="79" spans="1:43" ht="20.100000000000001" customHeight="1" x14ac:dyDescent="0.25">
      <c r="A79" s="8">
        <v>77</v>
      </c>
      <c r="B79" s="48"/>
      <c r="C79" s="48"/>
      <c r="D79" s="48"/>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0">
        <f t="shared" si="6"/>
        <v>0</v>
      </c>
      <c r="AM79" s="37">
        <f t="shared" si="7"/>
        <v>0</v>
      </c>
      <c r="AN79" s="37">
        <f t="shared" si="8"/>
        <v>0</v>
      </c>
      <c r="AO79" s="38" t="e">
        <f t="shared" si="9"/>
        <v>#DIV/0!</v>
      </c>
      <c r="AP79" s="38" t="e">
        <f t="shared" si="10"/>
        <v>#DIV/0!</v>
      </c>
      <c r="AQ79" s="39" t="e">
        <f t="shared" si="11"/>
        <v>#DIV/0!</v>
      </c>
    </row>
    <row r="80" spans="1:43" ht="20.100000000000001" customHeight="1" x14ac:dyDescent="0.25">
      <c r="A80" s="8">
        <v>78</v>
      </c>
      <c r="B80" s="48"/>
      <c r="C80" s="48"/>
      <c r="D80" s="48"/>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0">
        <f t="shared" si="6"/>
        <v>0</v>
      </c>
      <c r="AM80" s="37">
        <f t="shared" si="7"/>
        <v>0</v>
      </c>
      <c r="AN80" s="37">
        <f t="shared" si="8"/>
        <v>0</v>
      </c>
      <c r="AO80" s="38" t="e">
        <f t="shared" si="9"/>
        <v>#DIV/0!</v>
      </c>
      <c r="AP80" s="38" t="e">
        <f t="shared" si="10"/>
        <v>#DIV/0!</v>
      </c>
      <c r="AQ80" s="39" t="e">
        <f t="shared" si="11"/>
        <v>#DIV/0!</v>
      </c>
    </row>
    <row r="81" spans="1:43" ht="20.100000000000001" customHeight="1" x14ac:dyDescent="0.25">
      <c r="A81" s="8">
        <v>79</v>
      </c>
      <c r="B81" s="48"/>
      <c r="C81" s="48"/>
      <c r="D81" s="48"/>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0">
        <f t="shared" si="6"/>
        <v>0</v>
      </c>
      <c r="AM81" s="37">
        <f t="shared" si="7"/>
        <v>0</v>
      </c>
      <c r="AN81" s="37">
        <f t="shared" si="8"/>
        <v>0</v>
      </c>
      <c r="AO81" s="38" t="e">
        <f t="shared" si="9"/>
        <v>#DIV/0!</v>
      </c>
      <c r="AP81" s="38" t="e">
        <f t="shared" si="10"/>
        <v>#DIV/0!</v>
      </c>
      <c r="AQ81" s="39" t="e">
        <f t="shared" si="11"/>
        <v>#DIV/0!</v>
      </c>
    </row>
    <row r="82" spans="1:43" ht="20.100000000000001" customHeight="1" x14ac:dyDescent="0.25">
      <c r="A82" s="8">
        <v>80</v>
      </c>
      <c r="B82" s="48"/>
      <c r="C82" s="48"/>
      <c r="D82" s="48"/>
      <c r="E82" s="49"/>
      <c r="F82" s="49"/>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0">
        <f t="shared" si="6"/>
        <v>0</v>
      </c>
      <c r="AM82" s="37">
        <f t="shared" si="7"/>
        <v>0</v>
      </c>
      <c r="AN82" s="37">
        <f t="shared" si="8"/>
        <v>0</v>
      </c>
      <c r="AO82" s="38" t="e">
        <f t="shared" si="9"/>
        <v>#DIV/0!</v>
      </c>
      <c r="AP82" s="38" t="e">
        <f t="shared" si="10"/>
        <v>#DIV/0!</v>
      </c>
      <c r="AQ82" s="39" t="e">
        <f t="shared" si="11"/>
        <v>#DIV/0!</v>
      </c>
    </row>
    <row r="83" spans="1:43" ht="20.100000000000001" customHeight="1" x14ac:dyDescent="0.25">
      <c r="A83" s="8">
        <v>81</v>
      </c>
      <c r="B83" s="48"/>
      <c r="C83" s="48"/>
      <c r="D83" s="48"/>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0">
        <f t="shared" si="6"/>
        <v>0</v>
      </c>
      <c r="AM83" s="37">
        <f t="shared" si="7"/>
        <v>0</v>
      </c>
      <c r="AN83" s="37">
        <f t="shared" si="8"/>
        <v>0</v>
      </c>
      <c r="AO83" s="38" t="e">
        <f t="shared" si="9"/>
        <v>#DIV/0!</v>
      </c>
      <c r="AP83" s="38" t="e">
        <f t="shared" si="10"/>
        <v>#DIV/0!</v>
      </c>
      <c r="AQ83" s="39" t="e">
        <f t="shared" si="11"/>
        <v>#DIV/0!</v>
      </c>
    </row>
    <row r="84" spans="1:43" ht="20.100000000000001" customHeight="1" x14ac:dyDescent="0.25">
      <c r="A84" s="8">
        <v>82</v>
      </c>
      <c r="B84" s="48"/>
      <c r="C84" s="48"/>
      <c r="D84" s="48"/>
      <c r="E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0">
        <f t="shared" si="6"/>
        <v>0</v>
      </c>
      <c r="AM84" s="37">
        <f t="shared" si="7"/>
        <v>0</v>
      </c>
      <c r="AN84" s="37">
        <f t="shared" si="8"/>
        <v>0</v>
      </c>
      <c r="AO84" s="38" t="e">
        <f t="shared" si="9"/>
        <v>#DIV/0!</v>
      </c>
      <c r="AP84" s="38" t="e">
        <f t="shared" si="10"/>
        <v>#DIV/0!</v>
      </c>
      <c r="AQ84" s="39" t="e">
        <f t="shared" si="11"/>
        <v>#DIV/0!</v>
      </c>
    </row>
    <row r="85" spans="1:43" ht="20.100000000000001" customHeight="1" x14ac:dyDescent="0.25">
      <c r="A85" s="8">
        <v>83</v>
      </c>
      <c r="B85" s="48"/>
      <c r="C85" s="48"/>
      <c r="D85" s="48"/>
      <c r="E85" s="49"/>
      <c r="F85" s="49"/>
      <c r="G85" s="49"/>
      <c r="H85" s="49"/>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0">
        <f t="shared" si="6"/>
        <v>0</v>
      </c>
      <c r="AM85" s="37">
        <f t="shared" si="7"/>
        <v>0</v>
      </c>
      <c r="AN85" s="37">
        <f t="shared" si="8"/>
        <v>0</v>
      </c>
      <c r="AO85" s="38" t="e">
        <f t="shared" si="9"/>
        <v>#DIV/0!</v>
      </c>
      <c r="AP85" s="38" t="e">
        <f t="shared" si="10"/>
        <v>#DIV/0!</v>
      </c>
      <c r="AQ85" s="39" t="e">
        <f t="shared" si="11"/>
        <v>#DIV/0!</v>
      </c>
    </row>
    <row r="86" spans="1:43" ht="20.100000000000001" customHeight="1" x14ac:dyDescent="0.25">
      <c r="A86" s="8">
        <v>84</v>
      </c>
      <c r="B86" s="48"/>
      <c r="C86" s="48"/>
      <c r="D86" s="48"/>
      <c r="E86" s="49"/>
      <c r="F86" s="49"/>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0">
        <f t="shared" si="6"/>
        <v>0</v>
      </c>
      <c r="AM86" s="37">
        <f t="shared" si="7"/>
        <v>0</v>
      </c>
      <c r="AN86" s="37">
        <f t="shared" si="8"/>
        <v>0</v>
      </c>
      <c r="AO86" s="38" t="e">
        <f t="shared" si="9"/>
        <v>#DIV/0!</v>
      </c>
      <c r="AP86" s="38" t="e">
        <f t="shared" si="10"/>
        <v>#DIV/0!</v>
      </c>
      <c r="AQ86" s="39" t="e">
        <f t="shared" si="11"/>
        <v>#DIV/0!</v>
      </c>
    </row>
    <row r="87" spans="1:43" ht="20.100000000000001" customHeight="1" x14ac:dyDescent="0.25">
      <c r="A87" s="8">
        <v>85</v>
      </c>
      <c r="B87" s="48"/>
      <c r="C87" s="48"/>
      <c r="D87" s="48"/>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0">
        <f t="shared" si="6"/>
        <v>0</v>
      </c>
      <c r="AM87" s="37">
        <f t="shared" si="7"/>
        <v>0</v>
      </c>
      <c r="AN87" s="37">
        <f t="shared" si="8"/>
        <v>0</v>
      </c>
      <c r="AO87" s="38" t="e">
        <f t="shared" si="9"/>
        <v>#DIV/0!</v>
      </c>
      <c r="AP87" s="38" t="e">
        <f t="shared" si="10"/>
        <v>#DIV/0!</v>
      </c>
      <c r="AQ87" s="39" t="e">
        <f t="shared" si="11"/>
        <v>#DIV/0!</v>
      </c>
    </row>
    <row r="88" spans="1:43" ht="20.100000000000001" customHeight="1" x14ac:dyDescent="0.25">
      <c r="A88" s="8">
        <v>86</v>
      </c>
      <c r="B88" s="48"/>
      <c r="C88" s="48"/>
      <c r="D88" s="48"/>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0">
        <f t="shared" si="6"/>
        <v>0</v>
      </c>
      <c r="AM88" s="37">
        <f t="shared" si="7"/>
        <v>0</v>
      </c>
      <c r="AN88" s="37">
        <f t="shared" si="8"/>
        <v>0</v>
      </c>
      <c r="AO88" s="38" t="e">
        <f t="shared" si="9"/>
        <v>#DIV/0!</v>
      </c>
      <c r="AP88" s="38" t="e">
        <f t="shared" si="10"/>
        <v>#DIV/0!</v>
      </c>
      <c r="AQ88" s="39" t="e">
        <f t="shared" si="11"/>
        <v>#DIV/0!</v>
      </c>
    </row>
    <row r="89" spans="1:43" ht="20.100000000000001" customHeight="1" x14ac:dyDescent="0.25">
      <c r="A89" s="8">
        <v>87</v>
      </c>
      <c r="B89" s="48"/>
      <c r="C89" s="48"/>
      <c r="D89" s="48"/>
      <c r="E89" s="49"/>
      <c r="F89" s="49"/>
      <c r="G89" s="49"/>
      <c r="H89" s="49"/>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0">
        <f t="shared" si="6"/>
        <v>0</v>
      </c>
      <c r="AM89" s="37">
        <f t="shared" si="7"/>
        <v>0</v>
      </c>
      <c r="AN89" s="37">
        <f t="shared" si="8"/>
        <v>0</v>
      </c>
      <c r="AO89" s="38" t="e">
        <f t="shared" si="9"/>
        <v>#DIV/0!</v>
      </c>
      <c r="AP89" s="38" t="e">
        <f t="shared" si="10"/>
        <v>#DIV/0!</v>
      </c>
      <c r="AQ89" s="39" t="e">
        <f t="shared" si="11"/>
        <v>#DIV/0!</v>
      </c>
    </row>
    <row r="90" spans="1:43" ht="20.100000000000001" customHeight="1" x14ac:dyDescent="0.25">
      <c r="A90" s="8">
        <v>88</v>
      </c>
      <c r="B90" s="48"/>
      <c r="C90" s="48"/>
      <c r="D90" s="48"/>
      <c r="E90" s="49"/>
      <c r="F90" s="49"/>
      <c r="G90" s="49"/>
      <c r="H90" s="49"/>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0">
        <f t="shared" si="6"/>
        <v>0</v>
      </c>
      <c r="AM90" s="37">
        <f t="shared" si="7"/>
        <v>0</v>
      </c>
      <c r="AN90" s="37">
        <f t="shared" si="8"/>
        <v>0</v>
      </c>
      <c r="AO90" s="38" t="e">
        <f t="shared" si="9"/>
        <v>#DIV/0!</v>
      </c>
      <c r="AP90" s="38" t="e">
        <f t="shared" si="10"/>
        <v>#DIV/0!</v>
      </c>
      <c r="AQ90" s="39" t="e">
        <f t="shared" si="11"/>
        <v>#DIV/0!</v>
      </c>
    </row>
    <row r="91" spans="1:43" ht="20.100000000000001" customHeight="1" x14ac:dyDescent="0.25">
      <c r="A91" s="8">
        <v>89</v>
      </c>
      <c r="B91" s="48"/>
      <c r="C91" s="48"/>
      <c r="D91" s="48"/>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0">
        <f t="shared" si="6"/>
        <v>0</v>
      </c>
      <c r="AM91" s="37">
        <f t="shared" si="7"/>
        <v>0</v>
      </c>
      <c r="AN91" s="37">
        <f t="shared" si="8"/>
        <v>0</v>
      </c>
      <c r="AO91" s="38" t="e">
        <f t="shared" si="9"/>
        <v>#DIV/0!</v>
      </c>
      <c r="AP91" s="38" t="e">
        <f t="shared" si="10"/>
        <v>#DIV/0!</v>
      </c>
      <c r="AQ91" s="39" t="e">
        <f t="shared" si="11"/>
        <v>#DIV/0!</v>
      </c>
    </row>
    <row r="92" spans="1:43" ht="20.100000000000001" customHeight="1" x14ac:dyDescent="0.25">
      <c r="A92" s="8">
        <v>90</v>
      </c>
      <c r="B92" s="48"/>
      <c r="C92" s="48"/>
      <c r="D92" s="48"/>
      <c r="E92" s="49"/>
      <c r="F92" s="49"/>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0">
        <f t="shared" si="6"/>
        <v>0</v>
      </c>
      <c r="AM92" s="37">
        <f t="shared" si="7"/>
        <v>0</v>
      </c>
      <c r="AN92" s="37">
        <f t="shared" si="8"/>
        <v>0</v>
      </c>
      <c r="AO92" s="38" t="e">
        <f t="shared" si="9"/>
        <v>#DIV/0!</v>
      </c>
      <c r="AP92" s="38" t="e">
        <f t="shared" si="10"/>
        <v>#DIV/0!</v>
      </c>
      <c r="AQ92" s="39" t="e">
        <f t="shared" si="11"/>
        <v>#DIV/0!</v>
      </c>
    </row>
    <row r="93" spans="1:43" ht="20.100000000000001" customHeight="1" x14ac:dyDescent="0.25">
      <c r="A93" s="8">
        <v>91</v>
      </c>
      <c r="B93" s="48"/>
      <c r="C93" s="48"/>
      <c r="D93" s="48"/>
      <c r="E93" s="49"/>
      <c r="F93" s="49"/>
      <c r="G93" s="49"/>
      <c r="H93" s="49"/>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0">
        <f t="shared" si="6"/>
        <v>0</v>
      </c>
      <c r="AM93" s="37">
        <f t="shared" si="7"/>
        <v>0</v>
      </c>
      <c r="AN93" s="37">
        <f t="shared" si="8"/>
        <v>0</v>
      </c>
      <c r="AO93" s="38" t="e">
        <f t="shared" si="9"/>
        <v>#DIV/0!</v>
      </c>
      <c r="AP93" s="38" t="e">
        <f t="shared" si="10"/>
        <v>#DIV/0!</v>
      </c>
      <c r="AQ93" s="39" t="e">
        <f t="shared" si="11"/>
        <v>#DIV/0!</v>
      </c>
    </row>
    <row r="94" spans="1:43" ht="20.100000000000001" customHeight="1" x14ac:dyDescent="0.25">
      <c r="A94" s="8">
        <v>92</v>
      </c>
      <c r="B94" s="48"/>
      <c r="C94" s="48"/>
      <c r="D94" s="48"/>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0">
        <f t="shared" si="6"/>
        <v>0</v>
      </c>
      <c r="AM94" s="37">
        <f t="shared" si="7"/>
        <v>0</v>
      </c>
      <c r="AN94" s="37">
        <f t="shared" si="8"/>
        <v>0</v>
      </c>
      <c r="AO94" s="38" t="e">
        <f t="shared" si="9"/>
        <v>#DIV/0!</v>
      </c>
      <c r="AP94" s="38" t="e">
        <f t="shared" si="10"/>
        <v>#DIV/0!</v>
      </c>
      <c r="AQ94" s="39" t="e">
        <f t="shared" si="11"/>
        <v>#DIV/0!</v>
      </c>
    </row>
    <row r="95" spans="1:43" ht="20.100000000000001" customHeight="1" x14ac:dyDescent="0.25">
      <c r="A95" s="8">
        <v>93</v>
      </c>
      <c r="B95" s="48"/>
      <c r="C95" s="48"/>
      <c r="D95" s="48"/>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0">
        <f t="shared" si="6"/>
        <v>0</v>
      </c>
      <c r="AM95" s="37">
        <f t="shared" si="7"/>
        <v>0</v>
      </c>
      <c r="AN95" s="37">
        <f t="shared" si="8"/>
        <v>0</v>
      </c>
      <c r="AO95" s="38" t="e">
        <f t="shared" si="9"/>
        <v>#DIV/0!</v>
      </c>
      <c r="AP95" s="38" t="e">
        <f t="shared" si="10"/>
        <v>#DIV/0!</v>
      </c>
      <c r="AQ95" s="39" t="e">
        <f t="shared" si="11"/>
        <v>#DIV/0!</v>
      </c>
    </row>
    <row r="96" spans="1:43" ht="20.100000000000001" customHeight="1" x14ac:dyDescent="0.25">
      <c r="A96" s="8">
        <v>94</v>
      </c>
      <c r="B96" s="48"/>
      <c r="C96" s="48"/>
      <c r="D96" s="48"/>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0">
        <f t="shared" si="6"/>
        <v>0</v>
      </c>
      <c r="AM96" s="37">
        <f t="shared" si="7"/>
        <v>0</v>
      </c>
      <c r="AN96" s="37">
        <f t="shared" si="8"/>
        <v>0</v>
      </c>
      <c r="AO96" s="38" t="e">
        <f t="shared" si="9"/>
        <v>#DIV/0!</v>
      </c>
      <c r="AP96" s="38" t="e">
        <f t="shared" si="10"/>
        <v>#DIV/0!</v>
      </c>
      <c r="AQ96" s="39" t="e">
        <f t="shared" si="11"/>
        <v>#DIV/0!</v>
      </c>
    </row>
    <row r="97" spans="1:43" ht="20.100000000000001" customHeight="1" x14ac:dyDescent="0.25">
      <c r="A97" s="8">
        <v>95</v>
      </c>
      <c r="B97" s="48"/>
      <c r="C97" s="48"/>
      <c r="D97" s="48"/>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0">
        <f t="shared" si="6"/>
        <v>0</v>
      </c>
      <c r="AM97" s="37">
        <f t="shared" si="7"/>
        <v>0</v>
      </c>
      <c r="AN97" s="37">
        <f t="shared" si="8"/>
        <v>0</v>
      </c>
      <c r="AO97" s="38" t="e">
        <f t="shared" si="9"/>
        <v>#DIV/0!</v>
      </c>
      <c r="AP97" s="38" t="e">
        <f t="shared" si="10"/>
        <v>#DIV/0!</v>
      </c>
      <c r="AQ97" s="39" t="e">
        <f t="shared" si="11"/>
        <v>#DIV/0!</v>
      </c>
    </row>
    <row r="98" spans="1:43" ht="20.100000000000001" customHeight="1" x14ac:dyDescent="0.25">
      <c r="A98" s="8">
        <v>96</v>
      </c>
      <c r="B98" s="48"/>
      <c r="C98" s="48"/>
      <c r="D98" s="48"/>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0">
        <f t="shared" si="6"/>
        <v>0</v>
      </c>
      <c r="AM98" s="37">
        <f t="shared" si="7"/>
        <v>0</v>
      </c>
      <c r="AN98" s="37">
        <f t="shared" si="8"/>
        <v>0</v>
      </c>
      <c r="AO98" s="38" t="e">
        <f t="shared" si="9"/>
        <v>#DIV/0!</v>
      </c>
      <c r="AP98" s="38" t="e">
        <f t="shared" si="10"/>
        <v>#DIV/0!</v>
      </c>
      <c r="AQ98" s="39" t="e">
        <f t="shared" si="11"/>
        <v>#DIV/0!</v>
      </c>
    </row>
    <row r="99" spans="1:43" ht="20.100000000000001" customHeight="1" x14ac:dyDescent="0.25">
      <c r="A99" s="8">
        <v>97</v>
      </c>
      <c r="B99" s="48"/>
      <c r="C99" s="48"/>
      <c r="D99" s="48"/>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0">
        <f t="shared" si="6"/>
        <v>0</v>
      </c>
      <c r="AM99" s="37">
        <f t="shared" si="7"/>
        <v>0</v>
      </c>
      <c r="AN99" s="37">
        <f t="shared" si="8"/>
        <v>0</v>
      </c>
      <c r="AO99" s="38" t="e">
        <f t="shared" si="9"/>
        <v>#DIV/0!</v>
      </c>
      <c r="AP99" s="38" t="e">
        <f t="shared" si="10"/>
        <v>#DIV/0!</v>
      </c>
      <c r="AQ99" s="39" t="e">
        <f t="shared" si="11"/>
        <v>#DIV/0!</v>
      </c>
    </row>
    <row r="100" spans="1:43" ht="20.100000000000001" customHeight="1" x14ac:dyDescent="0.25">
      <c r="A100" s="8">
        <v>98</v>
      </c>
      <c r="B100" s="48"/>
      <c r="C100" s="48"/>
      <c r="D100" s="48"/>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0">
        <f t="shared" si="6"/>
        <v>0</v>
      </c>
      <c r="AM100" s="37">
        <f t="shared" si="7"/>
        <v>0</v>
      </c>
      <c r="AN100" s="37">
        <f t="shared" si="8"/>
        <v>0</v>
      </c>
      <c r="AO100" s="38" t="e">
        <f t="shared" si="9"/>
        <v>#DIV/0!</v>
      </c>
      <c r="AP100" s="38" t="e">
        <f t="shared" si="10"/>
        <v>#DIV/0!</v>
      </c>
      <c r="AQ100" s="39" t="e">
        <f t="shared" si="11"/>
        <v>#DIV/0!</v>
      </c>
    </row>
    <row r="101" spans="1:43" ht="20.100000000000001" customHeight="1" x14ac:dyDescent="0.25">
      <c r="A101" s="8">
        <v>99</v>
      </c>
      <c r="B101" s="48"/>
      <c r="C101" s="48"/>
      <c r="D101" s="48"/>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0">
        <f t="shared" si="6"/>
        <v>0</v>
      </c>
      <c r="AM101" s="37">
        <f t="shared" si="7"/>
        <v>0</v>
      </c>
      <c r="AN101" s="37">
        <f t="shared" si="8"/>
        <v>0</v>
      </c>
      <c r="AO101" s="38" t="e">
        <f t="shared" si="9"/>
        <v>#DIV/0!</v>
      </c>
      <c r="AP101" s="38" t="e">
        <f t="shared" si="10"/>
        <v>#DIV/0!</v>
      </c>
      <c r="AQ101" s="39" t="e">
        <f t="shared" si="11"/>
        <v>#DIV/0!</v>
      </c>
    </row>
    <row r="102" spans="1:43" ht="20.100000000000001" customHeight="1" x14ac:dyDescent="0.25">
      <c r="A102" s="8">
        <v>100</v>
      </c>
      <c r="B102" s="48"/>
      <c r="C102" s="48"/>
      <c r="D102" s="48"/>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0">
        <f t="shared" si="6"/>
        <v>0</v>
      </c>
      <c r="AM102" s="37">
        <f t="shared" si="7"/>
        <v>0</v>
      </c>
      <c r="AN102" s="37">
        <f t="shared" si="8"/>
        <v>0</v>
      </c>
      <c r="AO102" s="38" t="e">
        <f t="shared" si="9"/>
        <v>#DIV/0!</v>
      </c>
      <c r="AP102" s="38" t="e">
        <f t="shared" si="10"/>
        <v>#DIV/0!</v>
      </c>
      <c r="AQ102" s="39" t="e">
        <f t="shared" si="11"/>
        <v>#DIV/0!</v>
      </c>
    </row>
    <row r="103" spans="1:43" ht="20.100000000000001" customHeight="1" x14ac:dyDescent="0.25">
      <c r="A103" s="8">
        <v>101</v>
      </c>
      <c r="B103" s="48"/>
      <c r="C103" s="48"/>
      <c r="D103" s="48"/>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0">
        <f t="shared" si="6"/>
        <v>0</v>
      </c>
      <c r="AM103" s="37">
        <f t="shared" si="7"/>
        <v>0</v>
      </c>
      <c r="AN103" s="37">
        <f t="shared" si="8"/>
        <v>0</v>
      </c>
      <c r="AO103" s="38" t="e">
        <f t="shared" si="9"/>
        <v>#DIV/0!</v>
      </c>
      <c r="AP103" s="38" t="e">
        <f t="shared" si="10"/>
        <v>#DIV/0!</v>
      </c>
      <c r="AQ103" s="39" t="e">
        <f t="shared" si="11"/>
        <v>#DIV/0!</v>
      </c>
    </row>
    <row r="104" spans="1:43" ht="20.100000000000001" customHeight="1" x14ac:dyDescent="0.25">
      <c r="A104" s="8">
        <v>102</v>
      </c>
      <c r="B104" s="48"/>
      <c r="C104" s="48"/>
      <c r="D104" s="48"/>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0">
        <f t="shared" si="6"/>
        <v>0</v>
      </c>
      <c r="AM104" s="37">
        <f t="shared" si="7"/>
        <v>0</v>
      </c>
      <c r="AN104" s="37">
        <f t="shared" si="8"/>
        <v>0</v>
      </c>
      <c r="AO104" s="38" t="e">
        <f t="shared" si="9"/>
        <v>#DIV/0!</v>
      </c>
      <c r="AP104" s="38" t="e">
        <f t="shared" si="10"/>
        <v>#DIV/0!</v>
      </c>
      <c r="AQ104" s="39" t="e">
        <f t="shared" si="11"/>
        <v>#DIV/0!</v>
      </c>
    </row>
    <row r="105" spans="1:43" ht="20.100000000000001" customHeight="1" x14ac:dyDescent="0.25">
      <c r="A105" s="8">
        <v>103</v>
      </c>
      <c r="B105" s="48"/>
      <c r="C105" s="48"/>
      <c r="D105" s="48"/>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0">
        <f t="shared" si="6"/>
        <v>0</v>
      </c>
      <c r="AM105" s="37">
        <f t="shared" si="7"/>
        <v>0</v>
      </c>
      <c r="AN105" s="37">
        <f t="shared" si="8"/>
        <v>0</v>
      </c>
      <c r="AO105" s="38" t="e">
        <f t="shared" si="9"/>
        <v>#DIV/0!</v>
      </c>
      <c r="AP105" s="38" t="e">
        <f t="shared" si="10"/>
        <v>#DIV/0!</v>
      </c>
      <c r="AQ105" s="39" t="e">
        <f t="shared" si="11"/>
        <v>#DIV/0!</v>
      </c>
    </row>
    <row r="106" spans="1:43" ht="20.100000000000001" customHeight="1" x14ac:dyDescent="0.25">
      <c r="A106" s="8">
        <v>104</v>
      </c>
      <c r="B106" s="48"/>
      <c r="C106" s="48"/>
      <c r="D106" s="48"/>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0">
        <f t="shared" si="6"/>
        <v>0</v>
      </c>
      <c r="AM106" s="37">
        <f t="shared" si="7"/>
        <v>0</v>
      </c>
      <c r="AN106" s="37">
        <f t="shared" si="8"/>
        <v>0</v>
      </c>
      <c r="AO106" s="38" t="e">
        <f t="shared" si="9"/>
        <v>#DIV/0!</v>
      </c>
      <c r="AP106" s="38" t="e">
        <f t="shared" si="10"/>
        <v>#DIV/0!</v>
      </c>
      <c r="AQ106" s="39" t="e">
        <f t="shared" si="11"/>
        <v>#DIV/0!</v>
      </c>
    </row>
    <row r="107" spans="1:43" ht="20.100000000000001" customHeight="1" x14ac:dyDescent="0.25">
      <c r="A107" s="8">
        <v>105</v>
      </c>
      <c r="B107" s="48"/>
      <c r="C107" s="48"/>
      <c r="D107" s="48"/>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0">
        <f t="shared" si="6"/>
        <v>0</v>
      </c>
      <c r="AM107" s="37">
        <f t="shared" si="7"/>
        <v>0</v>
      </c>
      <c r="AN107" s="37">
        <f t="shared" si="8"/>
        <v>0</v>
      </c>
      <c r="AO107" s="38" t="e">
        <f t="shared" si="9"/>
        <v>#DIV/0!</v>
      </c>
      <c r="AP107" s="38" t="e">
        <f t="shared" si="10"/>
        <v>#DIV/0!</v>
      </c>
      <c r="AQ107" s="39" t="e">
        <f t="shared" si="11"/>
        <v>#DIV/0!</v>
      </c>
    </row>
    <row r="108" spans="1:43" ht="20.100000000000001" customHeight="1" x14ac:dyDescent="0.25">
      <c r="A108" s="8">
        <v>106</v>
      </c>
      <c r="B108" s="48"/>
      <c r="C108" s="48"/>
      <c r="D108" s="48"/>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0">
        <f t="shared" si="6"/>
        <v>0</v>
      </c>
      <c r="AM108" s="37">
        <f t="shared" si="7"/>
        <v>0</v>
      </c>
      <c r="AN108" s="37">
        <f t="shared" si="8"/>
        <v>0</v>
      </c>
      <c r="AO108" s="38" t="e">
        <f t="shared" si="9"/>
        <v>#DIV/0!</v>
      </c>
      <c r="AP108" s="38" t="e">
        <f t="shared" si="10"/>
        <v>#DIV/0!</v>
      </c>
      <c r="AQ108" s="39" t="e">
        <f t="shared" si="11"/>
        <v>#DIV/0!</v>
      </c>
    </row>
    <row r="109" spans="1:43" ht="20.100000000000001" customHeight="1" x14ac:dyDescent="0.25">
      <c r="A109" s="8">
        <v>107</v>
      </c>
      <c r="B109" s="48"/>
      <c r="C109" s="48"/>
      <c r="D109" s="48"/>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0">
        <f t="shared" si="6"/>
        <v>0</v>
      </c>
      <c r="AM109" s="37">
        <f t="shared" si="7"/>
        <v>0</v>
      </c>
      <c r="AN109" s="37">
        <f t="shared" si="8"/>
        <v>0</v>
      </c>
      <c r="AO109" s="38" t="e">
        <f t="shared" si="9"/>
        <v>#DIV/0!</v>
      </c>
      <c r="AP109" s="38" t="e">
        <f t="shared" si="10"/>
        <v>#DIV/0!</v>
      </c>
      <c r="AQ109" s="39" t="e">
        <f t="shared" si="11"/>
        <v>#DIV/0!</v>
      </c>
    </row>
    <row r="110" spans="1:43" ht="20.100000000000001" customHeight="1" x14ac:dyDescent="0.25">
      <c r="A110" s="8">
        <v>108</v>
      </c>
      <c r="B110" s="48"/>
      <c r="C110" s="48"/>
      <c r="D110" s="48"/>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c r="AK110" s="49"/>
      <c r="AL110" s="40">
        <f t="shared" si="6"/>
        <v>0</v>
      </c>
      <c r="AM110" s="37">
        <f t="shared" si="7"/>
        <v>0</v>
      </c>
      <c r="AN110" s="37">
        <f t="shared" si="8"/>
        <v>0</v>
      </c>
      <c r="AO110" s="38" t="e">
        <f t="shared" si="9"/>
        <v>#DIV/0!</v>
      </c>
      <c r="AP110" s="38" t="e">
        <f t="shared" si="10"/>
        <v>#DIV/0!</v>
      </c>
      <c r="AQ110" s="39" t="e">
        <f t="shared" si="11"/>
        <v>#DIV/0!</v>
      </c>
    </row>
    <row r="111" spans="1:43" ht="20.100000000000001" customHeight="1" x14ac:dyDescent="0.25">
      <c r="A111" s="8">
        <v>109</v>
      </c>
      <c r="B111" s="48"/>
      <c r="C111" s="48"/>
      <c r="D111" s="48"/>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c r="AK111" s="49"/>
      <c r="AL111" s="40">
        <f t="shared" si="6"/>
        <v>0</v>
      </c>
      <c r="AM111" s="37">
        <f t="shared" si="7"/>
        <v>0</v>
      </c>
      <c r="AN111" s="37">
        <f t="shared" si="8"/>
        <v>0</v>
      </c>
      <c r="AO111" s="38" t="e">
        <f t="shared" si="9"/>
        <v>#DIV/0!</v>
      </c>
      <c r="AP111" s="38" t="e">
        <f t="shared" si="10"/>
        <v>#DIV/0!</v>
      </c>
      <c r="AQ111" s="39" t="e">
        <f t="shared" si="11"/>
        <v>#DIV/0!</v>
      </c>
    </row>
    <row r="112" spans="1:43" ht="20.100000000000001" customHeight="1" x14ac:dyDescent="0.25">
      <c r="A112" s="8">
        <v>110</v>
      </c>
      <c r="B112" s="48"/>
      <c r="C112" s="48"/>
      <c r="D112" s="48"/>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c r="AK112" s="49"/>
      <c r="AL112" s="40">
        <f t="shared" si="6"/>
        <v>0</v>
      </c>
      <c r="AM112" s="37">
        <f t="shared" si="7"/>
        <v>0</v>
      </c>
      <c r="AN112" s="37">
        <f t="shared" si="8"/>
        <v>0</v>
      </c>
      <c r="AO112" s="38" t="e">
        <f t="shared" si="9"/>
        <v>#DIV/0!</v>
      </c>
      <c r="AP112" s="38" t="e">
        <f t="shared" si="10"/>
        <v>#DIV/0!</v>
      </c>
      <c r="AQ112" s="39" t="e">
        <f t="shared" si="11"/>
        <v>#DIV/0!</v>
      </c>
    </row>
    <row r="113" spans="1:43" ht="20.100000000000001" customHeight="1" x14ac:dyDescent="0.25">
      <c r="A113" s="8">
        <v>111</v>
      </c>
      <c r="B113" s="48"/>
      <c r="C113" s="48"/>
      <c r="D113" s="48"/>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c r="AK113" s="49"/>
      <c r="AL113" s="40">
        <f t="shared" si="6"/>
        <v>0</v>
      </c>
      <c r="AM113" s="37">
        <f t="shared" si="7"/>
        <v>0</v>
      </c>
      <c r="AN113" s="37">
        <f t="shared" si="8"/>
        <v>0</v>
      </c>
      <c r="AO113" s="38" t="e">
        <f t="shared" si="9"/>
        <v>#DIV/0!</v>
      </c>
      <c r="AP113" s="38" t="e">
        <f t="shared" si="10"/>
        <v>#DIV/0!</v>
      </c>
      <c r="AQ113" s="39" t="e">
        <f t="shared" si="11"/>
        <v>#DIV/0!</v>
      </c>
    </row>
    <row r="114" spans="1:43" ht="20.100000000000001" customHeight="1" x14ac:dyDescent="0.25">
      <c r="A114" s="8">
        <v>112</v>
      </c>
      <c r="B114" s="48"/>
      <c r="C114" s="48"/>
      <c r="D114" s="48"/>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c r="AK114" s="49"/>
      <c r="AL114" s="40">
        <f t="shared" si="6"/>
        <v>0</v>
      </c>
      <c r="AM114" s="37">
        <f t="shared" si="7"/>
        <v>0</v>
      </c>
      <c r="AN114" s="37">
        <f t="shared" si="8"/>
        <v>0</v>
      </c>
      <c r="AO114" s="38" t="e">
        <f t="shared" si="9"/>
        <v>#DIV/0!</v>
      </c>
      <c r="AP114" s="38" t="e">
        <f t="shared" si="10"/>
        <v>#DIV/0!</v>
      </c>
      <c r="AQ114" s="39" t="e">
        <f t="shared" si="11"/>
        <v>#DIV/0!</v>
      </c>
    </row>
    <row r="115" spans="1:43" ht="20.100000000000001" customHeight="1" x14ac:dyDescent="0.25">
      <c r="A115" s="8">
        <v>113</v>
      </c>
      <c r="B115" s="48"/>
      <c r="C115" s="48"/>
      <c r="D115" s="48"/>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c r="AK115" s="49"/>
      <c r="AL115" s="40">
        <f t="shared" si="6"/>
        <v>0</v>
      </c>
      <c r="AM115" s="37">
        <f t="shared" si="7"/>
        <v>0</v>
      </c>
      <c r="AN115" s="37">
        <f t="shared" si="8"/>
        <v>0</v>
      </c>
      <c r="AO115" s="38" t="e">
        <f t="shared" si="9"/>
        <v>#DIV/0!</v>
      </c>
      <c r="AP115" s="38" t="e">
        <f t="shared" si="10"/>
        <v>#DIV/0!</v>
      </c>
      <c r="AQ115" s="39" t="e">
        <f t="shared" si="11"/>
        <v>#DIV/0!</v>
      </c>
    </row>
    <row r="116" spans="1:43" ht="20.100000000000001" customHeight="1" x14ac:dyDescent="0.25">
      <c r="A116" s="8">
        <v>114</v>
      </c>
      <c r="B116" s="48"/>
      <c r="C116" s="48"/>
      <c r="D116" s="48"/>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c r="AK116" s="49"/>
      <c r="AL116" s="40">
        <f t="shared" si="6"/>
        <v>0</v>
      </c>
      <c r="AM116" s="37">
        <f t="shared" si="7"/>
        <v>0</v>
      </c>
      <c r="AN116" s="37">
        <f t="shared" si="8"/>
        <v>0</v>
      </c>
      <c r="AO116" s="38" t="e">
        <f t="shared" si="9"/>
        <v>#DIV/0!</v>
      </c>
      <c r="AP116" s="38" t="e">
        <f t="shared" si="10"/>
        <v>#DIV/0!</v>
      </c>
      <c r="AQ116" s="39" t="e">
        <f t="shared" si="11"/>
        <v>#DIV/0!</v>
      </c>
    </row>
    <row r="117" spans="1:43" ht="20.100000000000001" customHeight="1" x14ac:dyDescent="0.25">
      <c r="A117" s="8">
        <v>115</v>
      </c>
      <c r="B117" s="48"/>
      <c r="C117" s="48"/>
      <c r="D117" s="48"/>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49"/>
      <c r="AJ117" s="49"/>
      <c r="AK117" s="49"/>
      <c r="AL117" s="40">
        <f t="shared" si="6"/>
        <v>0</v>
      </c>
      <c r="AM117" s="37">
        <f t="shared" si="7"/>
        <v>0</v>
      </c>
      <c r="AN117" s="37">
        <f t="shared" si="8"/>
        <v>0</v>
      </c>
      <c r="AO117" s="38" t="e">
        <f t="shared" si="9"/>
        <v>#DIV/0!</v>
      </c>
      <c r="AP117" s="38" t="e">
        <f t="shared" si="10"/>
        <v>#DIV/0!</v>
      </c>
      <c r="AQ117" s="39" t="e">
        <f t="shared" si="11"/>
        <v>#DIV/0!</v>
      </c>
    </row>
    <row r="118" spans="1:43" ht="20.100000000000001" customHeight="1" x14ac:dyDescent="0.25">
      <c r="A118" s="8">
        <v>116</v>
      </c>
      <c r="B118" s="48"/>
      <c r="C118" s="48"/>
      <c r="D118" s="48"/>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49"/>
      <c r="AJ118" s="49"/>
      <c r="AK118" s="49"/>
      <c r="AL118" s="40">
        <f t="shared" si="6"/>
        <v>0</v>
      </c>
      <c r="AM118" s="37">
        <f t="shared" si="7"/>
        <v>0</v>
      </c>
      <c r="AN118" s="37">
        <f t="shared" si="8"/>
        <v>0</v>
      </c>
      <c r="AO118" s="38" t="e">
        <f t="shared" si="9"/>
        <v>#DIV/0!</v>
      </c>
      <c r="AP118" s="38" t="e">
        <f t="shared" si="10"/>
        <v>#DIV/0!</v>
      </c>
      <c r="AQ118" s="39" t="e">
        <f t="shared" si="11"/>
        <v>#DIV/0!</v>
      </c>
    </row>
    <row r="119" spans="1:43" ht="20.100000000000001" customHeight="1" x14ac:dyDescent="0.25">
      <c r="A119" s="8">
        <v>117</v>
      </c>
      <c r="B119" s="48"/>
      <c r="C119" s="48"/>
      <c r="D119" s="48"/>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49"/>
      <c r="AJ119" s="49"/>
      <c r="AK119" s="49"/>
      <c r="AL119" s="40">
        <f t="shared" si="6"/>
        <v>0</v>
      </c>
      <c r="AM119" s="37">
        <f t="shared" si="7"/>
        <v>0</v>
      </c>
      <c r="AN119" s="37">
        <f t="shared" si="8"/>
        <v>0</v>
      </c>
      <c r="AO119" s="38" t="e">
        <f t="shared" si="9"/>
        <v>#DIV/0!</v>
      </c>
      <c r="AP119" s="38" t="e">
        <f t="shared" si="10"/>
        <v>#DIV/0!</v>
      </c>
      <c r="AQ119" s="39" t="e">
        <f t="shared" si="11"/>
        <v>#DIV/0!</v>
      </c>
    </row>
    <row r="120" spans="1:43" ht="20.100000000000001" customHeight="1" x14ac:dyDescent="0.25">
      <c r="A120" s="8">
        <v>118</v>
      </c>
      <c r="B120" s="48"/>
      <c r="C120" s="48"/>
      <c r="D120" s="48"/>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c r="AI120" s="49"/>
      <c r="AJ120" s="49"/>
      <c r="AK120" s="49"/>
      <c r="AL120" s="40">
        <f t="shared" si="6"/>
        <v>0</v>
      </c>
      <c r="AM120" s="37">
        <f t="shared" si="7"/>
        <v>0</v>
      </c>
      <c r="AN120" s="37">
        <f t="shared" si="8"/>
        <v>0</v>
      </c>
      <c r="AO120" s="38" t="e">
        <f t="shared" si="9"/>
        <v>#DIV/0!</v>
      </c>
      <c r="AP120" s="38" t="e">
        <f t="shared" si="10"/>
        <v>#DIV/0!</v>
      </c>
      <c r="AQ120" s="39" t="e">
        <f t="shared" si="11"/>
        <v>#DIV/0!</v>
      </c>
    </row>
    <row r="121" spans="1:43" ht="20.100000000000001" customHeight="1" x14ac:dyDescent="0.25">
      <c r="A121" s="8">
        <v>119</v>
      </c>
      <c r="B121" s="48"/>
      <c r="C121" s="48"/>
      <c r="D121" s="48"/>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c r="AK121" s="49"/>
      <c r="AL121" s="40">
        <f t="shared" si="6"/>
        <v>0</v>
      </c>
      <c r="AM121" s="37">
        <f t="shared" si="7"/>
        <v>0</v>
      </c>
      <c r="AN121" s="37">
        <f t="shared" si="8"/>
        <v>0</v>
      </c>
      <c r="AO121" s="38" t="e">
        <f t="shared" si="9"/>
        <v>#DIV/0!</v>
      </c>
      <c r="AP121" s="38" t="e">
        <f t="shared" si="10"/>
        <v>#DIV/0!</v>
      </c>
      <c r="AQ121" s="39" t="e">
        <f t="shared" si="11"/>
        <v>#DIV/0!</v>
      </c>
    </row>
    <row r="122" spans="1:43" ht="20.100000000000001" customHeight="1" x14ac:dyDescent="0.25">
      <c r="A122" s="8">
        <v>120</v>
      </c>
      <c r="B122" s="48"/>
      <c r="C122" s="48"/>
      <c r="D122" s="48"/>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0">
        <f t="shared" si="6"/>
        <v>0</v>
      </c>
      <c r="AM122" s="37">
        <f t="shared" si="7"/>
        <v>0</v>
      </c>
      <c r="AN122" s="37">
        <f t="shared" si="8"/>
        <v>0</v>
      </c>
      <c r="AO122" s="38" t="e">
        <f t="shared" si="9"/>
        <v>#DIV/0!</v>
      </c>
      <c r="AP122" s="38" t="e">
        <f t="shared" si="10"/>
        <v>#DIV/0!</v>
      </c>
      <c r="AQ122" s="39" t="e">
        <f t="shared" si="11"/>
        <v>#DIV/0!</v>
      </c>
    </row>
    <row r="123" spans="1:43" ht="20.100000000000001" customHeight="1" x14ac:dyDescent="0.25">
      <c r="A123" s="8">
        <v>121</v>
      </c>
      <c r="B123" s="48"/>
      <c r="C123" s="48"/>
      <c r="D123" s="48"/>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0">
        <f t="shared" si="6"/>
        <v>0</v>
      </c>
      <c r="AM123" s="37">
        <f t="shared" si="7"/>
        <v>0</v>
      </c>
      <c r="AN123" s="37">
        <f t="shared" si="8"/>
        <v>0</v>
      </c>
      <c r="AO123" s="38" t="e">
        <f t="shared" si="9"/>
        <v>#DIV/0!</v>
      </c>
      <c r="AP123" s="38" t="e">
        <f t="shared" si="10"/>
        <v>#DIV/0!</v>
      </c>
      <c r="AQ123" s="39" t="e">
        <f t="shared" si="11"/>
        <v>#DIV/0!</v>
      </c>
    </row>
    <row r="124" spans="1:43" ht="20.100000000000001" customHeight="1" x14ac:dyDescent="0.25">
      <c r="A124" s="8">
        <v>122</v>
      </c>
      <c r="B124" s="48"/>
      <c r="C124" s="48"/>
      <c r="D124" s="48"/>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c r="AC124" s="49"/>
      <c r="AD124" s="49"/>
      <c r="AE124" s="49"/>
      <c r="AF124" s="49"/>
      <c r="AG124" s="49"/>
      <c r="AH124" s="49"/>
      <c r="AI124" s="49"/>
      <c r="AJ124" s="49"/>
      <c r="AK124" s="49"/>
      <c r="AL124" s="40">
        <f t="shared" si="6"/>
        <v>0</v>
      </c>
      <c r="AM124" s="37">
        <f t="shared" si="7"/>
        <v>0</v>
      </c>
      <c r="AN124" s="37">
        <f t="shared" si="8"/>
        <v>0</v>
      </c>
      <c r="AO124" s="38" t="e">
        <f t="shared" si="9"/>
        <v>#DIV/0!</v>
      </c>
      <c r="AP124" s="38" t="e">
        <f t="shared" si="10"/>
        <v>#DIV/0!</v>
      </c>
      <c r="AQ124" s="39" t="e">
        <f t="shared" si="11"/>
        <v>#DIV/0!</v>
      </c>
    </row>
    <row r="125" spans="1:43" ht="20.100000000000001" customHeight="1" x14ac:dyDescent="0.25">
      <c r="A125" s="8">
        <v>123</v>
      </c>
      <c r="B125" s="48"/>
      <c r="C125" s="48"/>
      <c r="D125" s="48"/>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c r="AC125" s="49"/>
      <c r="AD125" s="49"/>
      <c r="AE125" s="49"/>
      <c r="AF125" s="49"/>
      <c r="AG125" s="49"/>
      <c r="AH125" s="49"/>
      <c r="AI125" s="49"/>
      <c r="AJ125" s="49"/>
      <c r="AK125" s="49"/>
      <c r="AL125" s="40">
        <f t="shared" si="6"/>
        <v>0</v>
      </c>
      <c r="AM125" s="37">
        <f t="shared" si="7"/>
        <v>0</v>
      </c>
      <c r="AN125" s="37">
        <f t="shared" si="8"/>
        <v>0</v>
      </c>
      <c r="AO125" s="38" t="e">
        <f t="shared" si="9"/>
        <v>#DIV/0!</v>
      </c>
      <c r="AP125" s="38" t="e">
        <f t="shared" si="10"/>
        <v>#DIV/0!</v>
      </c>
      <c r="AQ125" s="39" t="e">
        <f t="shared" si="11"/>
        <v>#DIV/0!</v>
      </c>
    </row>
    <row r="126" spans="1:43" ht="20.100000000000001" customHeight="1" x14ac:dyDescent="0.25">
      <c r="A126" s="8">
        <v>124</v>
      </c>
      <c r="B126" s="48"/>
      <c r="C126" s="48"/>
      <c r="D126" s="48"/>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c r="AC126" s="49"/>
      <c r="AD126" s="49"/>
      <c r="AE126" s="49"/>
      <c r="AF126" s="49"/>
      <c r="AG126" s="49"/>
      <c r="AH126" s="49"/>
      <c r="AI126" s="49"/>
      <c r="AJ126" s="49"/>
      <c r="AK126" s="49"/>
      <c r="AL126" s="40">
        <f t="shared" si="6"/>
        <v>0</v>
      </c>
      <c r="AM126" s="37">
        <f t="shared" si="7"/>
        <v>0</v>
      </c>
      <c r="AN126" s="37">
        <f t="shared" si="8"/>
        <v>0</v>
      </c>
      <c r="AO126" s="38" t="e">
        <f t="shared" si="9"/>
        <v>#DIV/0!</v>
      </c>
      <c r="AP126" s="38" t="e">
        <f t="shared" si="10"/>
        <v>#DIV/0!</v>
      </c>
      <c r="AQ126" s="39" t="e">
        <f t="shared" si="11"/>
        <v>#DIV/0!</v>
      </c>
    </row>
    <row r="127" spans="1:43" ht="20.100000000000001" customHeight="1" x14ac:dyDescent="0.25">
      <c r="A127" s="8">
        <v>125</v>
      </c>
      <c r="B127" s="48"/>
      <c r="C127" s="48"/>
      <c r="D127" s="48"/>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c r="AC127" s="49"/>
      <c r="AD127" s="49"/>
      <c r="AE127" s="49"/>
      <c r="AF127" s="49"/>
      <c r="AG127" s="49"/>
      <c r="AH127" s="49"/>
      <c r="AI127" s="49"/>
      <c r="AJ127" s="49"/>
      <c r="AK127" s="49"/>
      <c r="AL127" s="40">
        <f t="shared" si="6"/>
        <v>0</v>
      </c>
      <c r="AM127" s="37">
        <f t="shared" si="7"/>
        <v>0</v>
      </c>
      <c r="AN127" s="37">
        <f t="shared" si="8"/>
        <v>0</v>
      </c>
      <c r="AO127" s="38" t="e">
        <f t="shared" si="9"/>
        <v>#DIV/0!</v>
      </c>
      <c r="AP127" s="38" t="e">
        <f t="shared" si="10"/>
        <v>#DIV/0!</v>
      </c>
      <c r="AQ127" s="39" t="e">
        <f t="shared" si="11"/>
        <v>#DIV/0!</v>
      </c>
    </row>
    <row r="128" spans="1:43" ht="20.100000000000001" customHeight="1" x14ac:dyDescent="0.25">
      <c r="A128" s="8">
        <v>126</v>
      </c>
      <c r="B128" s="48"/>
      <c r="C128" s="48"/>
      <c r="D128" s="48"/>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0">
        <f t="shared" si="6"/>
        <v>0</v>
      </c>
      <c r="AM128" s="37">
        <f t="shared" si="7"/>
        <v>0</v>
      </c>
      <c r="AN128" s="37">
        <f t="shared" si="8"/>
        <v>0</v>
      </c>
      <c r="AO128" s="38" t="e">
        <f t="shared" si="9"/>
        <v>#DIV/0!</v>
      </c>
      <c r="AP128" s="38" t="e">
        <f t="shared" si="10"/>
        <v>#DIV/0!</v>
      </c>
      <c r="AQ128" s="39" t="e">
        <f t="shared" si="11"/>
        <v>#DIV/0!</v>
      </c>
    </row>
    <row r="129" spans="1:43" ht="20.100000000000001" customHeight="1" x14ac:dyDescent="0.25">
      <c r="A129" s="8">
        <v>127</v>
      </c>
      <c r="B129" s="48"/>
      <c r="C129" s="48"/>
      <c r="D129" s="48"/>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G129" s="49"/>
      <c r="AH129" s="49"/>
      <c r="AI129" s="49"/>
      <c r="AJ129" s="49"/>
      <c r="AK129" s="49"/>
      <c r="AL129" s="40">
        <f t="shared" si="6"/>
        <v>0</v>
      </c>
      <c r="AM129" s="37">
        <f t="shared" si="7"/>
        <v>0</v>
      </c>
      <c r="AN129" s="37">
        <f t="shared" si="8"/>
        <v>0</v>
      </c>
      <c r="AO129" s="38" t="e">
        <f t="shared" si="9"/>
        <v>#DIV/0!</v>
      </c>
      <c r="AP129" s="38" t="e">
        <f t="shared" si="10"/>
        <v>#DIV/0!</v>
      </c>
      <c r="AQ129" s="39" t="e">
        <f t="shared" si="11"/>
        <v>#DIV/0!</v>
      </c>
    </row>
    <row r="130" spans="1:43" ht="20.100000000000001" customHeight="1" x14ac:dyDescent="0.25">
      <c r="A130" s="8">
        <v>128</v>
      </c>
      <c r="B130" s="48"/>
      <c r="C130" s="48"/>
      <c r="D130" s="48"/>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G130" s="49"/>
      <c r="AH130" s="49"/>
      <c r="AI130" s="49"/>
      <c r="AJ130" s="49"/>
      <c r="AK130" s="49"/>
      <c r="AL130" s="40">
        <f t="shared" si="6"/>
        <v>0</v>
      </c>
      <c r="AM130" s="37">
        <f t="shared" si="7"/>
        <v>0</v>
      </c>
      <c r="AN130" s="37">
        <f t="shared" si="8"/>
        <v>0</v>
      </c>
      <c r="AO130" s="38" t="e">
        <f t="shared" si="9"/>
        <v>#DIV/0!</v>
      </c>
      <c r="AP130" s="38" t="e">
        <f t="shared" si="10"/>
        <v>#DIV/0!</v>
      </c>
      <c r="AQ130" s="39" t="e">
        <f t="shared" si="11"/>
        <v>#DIV/0!</v>
      </c>
    </row>
    <row r="131" spans="1:43" ht="20.100000000000001" customHeight="1" x14ac:dyDescent="0.25">
      <c r="A131" s="8">
        <v>129</v>
      </c>
      <c r="B131" s="48"/>
      <c r="C131" s="48"/>
      <c r="D131" s="48"/>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G131" s="49"/>
      <c r="AH131" s="49"/>
      <c r="AI131" s="49"/>
      <c r="AJ131" s="49"/>
      <c r="AK131" s="49"/>
      <c r="AL131" s="40">
        <f t="shared" ref="AL131:AL194" si="12">COUNTIF($H131:$AK131,1)</f>
        <v>0</v>
      </c>
      <c r="AM131" s="37">
        <f t="shared" ref="AM131:AM194" si="13">COUNTIF($H131:$AK131,0)</f>
        <v>0</v>
      </c>
      <c r="AN131" s="37">
        <f t="shared" si="8"/>
        <v>0</v>
      </c>
      <c r="AO131" s="38" t="e">
        <f t="shared" si="9"/>
        <v>#DIV/0!</v>
      </c>
      <c r="AP131" s="38" t="e">
        <f t="shared" si="10"/>
        <v>#DIV/0!</v>
      </c>
      <c r="AQ131" s="39" t="e">
        <f t="shared" si="11"/>
        <v>#DIV/0!</v>
      </c>
    </row>
    <row r="132" spans="1:43" ht="20.100000000000001" customHeight="1" x14ac:dyDescent="0.25">
      <c r="A132" s="8">
        <v>130</v>
      </c>
      <c r="B132" s="48"/>
      <c r="C132" s="48"/>
      <c r="D132" s="48"/>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G132" s="49"/>
      <c r="AH132" s="49"/>
      <c r="AI132" s="49"/>
      <c r="AJ132" s="49"/>
      <c r="AK132" s="49"/>
      <c r="AL132" s="40">
        <f t="shared" si="12"/>
        <v>0</v>
      </c>
      <c r="AM132" s="37">
        <f t="shared" si="13"/>
        <v>0</v>
      </c>
      <c r="AN132" s="37">
        <f t="shared" ref="AN132:AN195" si="14">SUM(AL132:AM132)</f>
        <v>0</v>
      </c>
      <c r="AO132" s="38" t="e">
        <f t="shared" ref="AO132:AO195" si="15">(AL132/AN132)*100</f>
        <v>#DIV/0!</v>
      </c>
      <c r="AP132" s="38" t="e">
        <f t="shared" ref="AP132:AP195" si="16">(AM132/AN132)*100</f>
        <v>#DIV/0!</v>
      </c>
      <c r="AQ132" s="39" t="e">
        <f t="shared" ref="AQ132:AQ195" si="17">SUM(AO132:AP132)</f>
        <v>#DIV/0!</v>
      </c>
    </row>
    <row r="133" spans="1:43" ht="20.100000000000001" customHeight="1" x14ac:dyDescent="0.25">
      <c r="A133" s="8">
        <v>131</v>
      </c>
      <c r="B133" s="48"/>
      <c r="C133" s="48"/>
      <c r="D133" s="48"/>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G133" s="49"/>
      <c r="AH133" s="49"/>
      <c r="AI133" s="49"/>
      <c r="AJ133" s="49"/>
      <c r="AK133" s="49"/>
      <c r="AL133" s="40">
        <f t="shared" si="12"/>
        <v>0</v>
      </c>
      <c r="AM133" s="37">
        <f t="shared" si="13"/>
        <v>0</v>
      </c>
      <c r="AN133" s="37">
        <f t="shared" si="14"/>
        <v>0</v>
      </c>
      <c r="AO133" s="38" t="e">
        <f t="shared" si="15"/>
        <v>#DIV/0!</v>
      </c>
      <c r="AP133" s="38" t="e">
        <f t="shared" si="16"/>
        <v>#DIV/0!</v>
      </c>
      <c r="AQ133" s="39" t="e">
        <f t="shared" si="17"/>
        <v>#DIV/0!</v>
      </c>
    </row>
    <row r="134" spans="1:43" ht="20.100000000000001" customHeight="1" x14ac:dyDescent="0.25">
      <c r="A134" s="8">
        <v>132</v>
      </c>
      <c r="B134" s="48"/>
      <c r="C134" s="48"/>
      <c r="D134" s="48"/>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49"/>
      <c r="AF134" s="49"/>
      <c r="AG134" s="49"/>
      <c r="AH134" s="49"/>
      <c r="AI134" s="49"/>
      <c r="AJ134" s="49"/>
      <c r="AK134" s="49"/>
      <c r="AL134" s="40">
        <f t="shared" si="12"/>
        <v>0</v>
      </c>
      <c r="AM134" s="37">
        <f t="shared" si="13"/>
        <v>0</v>
      </c>
      <c r="AN134" s="37">
        <f t="shared" si="14"/>
        <v>0</v>
      </c>
      <c r="AO134" s="38" t="e">
        <f t="shared" si="15"/>
        <v>#DIV/0!</v>
      </c>
      <c r="AP134" s="38" t="e">
        <f t="shared" si="16"/>
        <v>#DIV/0!</v>
      </c>
      <c r="AQ134" s="39" t="e">
        <f t="shared" si="17"/>
        <v>#DIV/0!</v>
      </c>
    </row>
    <row r="135" spans="1:43" ht="20.100000000000001" customHeight="1" x14ac:dyDescent="0.25">
      <c r="A135" s="8">
        <v>133</v>
      </c>
      <c r="B135" s="48"/>
      <c r="C135" s="48"/>
      <c r="D135" s="48"/>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G135" s="49"/>
      <c r="AH135" s="49"/>
      <c r="AI135" s="49"/>
      <c r="AJ135" s="49"/>
      <c r="AK135" s="49"/>
      <c r="AL135" s="40">
        <f t="shared" si="12"/>
        <v>0</v>
      </c>
      <c r="AM135" s="37">
        <f t="shared" si="13"/>
        <v>0</v>
      </c>
      <c r="AN135" s="37">
        <f t="shared" si="14"/>
        <v>0</v>
      </c>
      <c r="AO135" s="38" t="e">
        <f t="shared" si="15"/>
        <v>#DIV/0!</v>
      </c>
      <c r="AP135" s="38" t="e">
        <f t="shared" si="16"/>
        <v>#DIV/0!</v>
      </c>
      <c r="AQ135" s="39" t="e">
        <f t="shared" si="17"/>
        <v>#DIV/0!</v>
      </c>
    </row>
    <row r="136" spans="1:43" ht="20.100000000000001" customHeight="1" x14ac:dyDescent="0.25">
      <c r="A136" s="8">
        <v>134</v>
      </c>
      <c r="B136" s="48"/>
      <c r="C136" s="48"/>
      <c r="D136" s="48"/>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G136" s="49"/>
      <c r="AH136" s="49"/>
      <c r="AI136" s="49"/>
      <c r="AJ136" s="49"/>
      <c r="AK136" s="49"/>
      <c r="AL136" s="40">
        <f t="shared" si="12"/>
        <v>0</v>
      </c>
      <c r="AM136" s="37">
        <f t="shared" si="13"/>
        <v>0</v>
      </c>
      <c r="AN136" s="37">
        <f t="shared" si="14"/>
        <v>0</v>
      </c>
      <c r="AO136" s="38" t="e">
        <f t="shared" si="15"/>
        <v>#DIV/0!</v>
      </c>
      <c r="AP136" s="38" t="e">
        <f t="shared" si="16"/>
        <v>#DIV/0!</v>
      </c>
      <c r="AQ136" s="39" t="e">
        <f t="shared" si="17"/>
        <v>#DIV/0!</v>
      </c>
    </row>
    <row r="137" spans="1:43" ht="20.100000000000001" customHeight="1" x14ac:dyDescent="0.25">
      <c r="A137" s="8">
        <v>135</v>
      </c>
      <c r="B137" s="48"/>
      <c r="C137" s="48"/>
      <c r="D137" s="48"/>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c r="AC137" s="49"/>
      <c r="AD137" s="49"/>
      <c r="AE137" s="49"/>
      <c r="AF137" s="49"/>
      <c r="AG137" s="49"/>
      <c r="AH137" s="49"/>
      <c r="AI137" s="49"/>
      <c r="AJ137" s="49"/>
      <c r="AK137" s="49"/>
      <c r="AL137" s="40">
        <f t="shared" si="12"/>
        <v>0</v>
      </c>
      <c r="AM137" s="37">
        <f t="shared" si="13"/>
        <v>0</v>
      </c>
      <c r="AN137" s="37">
        <f t="shared" si="14"/>
        <v>0</v>
      </c>
      <c r="AO137" s="38" t="e">
        <f t="shared" si="15"/>
        <v>#DIV/0!</v>
      </c>
      <c r="AP137" s="38" t="e">
        <f t="shared" si="16"/>
        <v>#DIV/0!</v>
      </c>
      <c r="AQ137" s="39" t="e">
        <f t="shared" si="17"/>
        <v>#DIV/0!</v>
      </c>
    </row>
    <row r="138" spans="1:43" ht="20.100000000000001" customHeight="1" x14ac:dyDescent="0.25">
      <c r="A138" s="8">
        <v>136</v>
      </c>
      <c r="B138" s="48"/>
      <c r="C138" s="48"/>
      <c r="D138" s="48"/>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c r="AC138" s="49"/>
      <c r="AD138" s="49"/>
      <c r="AE138" s="49"/>
      <c r="AF138" s="49"/>
      <c r="AG138" s="49"/>
      <c r="AH138" s="49"/>
      <c r="AI138" s="49"/>
      <c r="AJ138" s="49"/>
      <c r="AK138" s="49"/>
      <c r="AL138" s="40">
        <f t="shared" si="12"/>
        <v>0</v>
      </c>
      <c r="AM138" s="37">
        <f t="shared" si="13"/>
        <v>0</v>
      </c>
      <c r="AN138" s="37">
        <f t="shared" si="14"/>
        <v>0</v>
      </c>
      <c r="AO138" s="38" t="e">
        <f t="shared" si="15"/>
        <v>#DIV/0!</v>
      </c>
      <c r="AP138" s="38" t="e">
        <f t="shared" si="16"/>
        <v>#DIV/0!</v>
      </c>
      <c r="AQ138" s="39" t="e">
        <f t="shared" si="17"/>
        <v>#DIV/0!</v>
      </c>
    </row>
    <row r="139" spans="1:43" ht="20.100000000000001" customHeight="1" x14ac:dyDescent="0.25">
      <c r="A139" s="8">
        <v>137</v>
      </c>
      <c r="B139" s="48"/>
      <c r="C139" s="48"/>
      <c r="D139" s="48"/>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c r="AC139" s="49"/>
      <c r="AD139" s="49"/>
      <c r="AE139" s="49"/>
      <c r="AF139" s="49"/>
      <c r="AG139" s="49"/>
      <c r="AH139" s="49"/>
      <c r="AI139" s="49"/>
      <c r="AJ139" s="49"/>
      <c r="AK139" s="49"/>
      <c r="AL139" s="40">
        <f t="shared" si="12"/>
        <v>0</v>
      </c>
      <c r="AM139" s="37">
        <f t="shared" si="13"/>
        <v>0</v>
      </c>
      <c r="AN139" s="37">
        <f t="shared" si="14"/>
        <v>0</v>
      </c>
      <c r="AO139" s="38" t="e">
        <f t="shared" si="15"/>
        <v>#DIV/0!</v>
      </c>
      <c r="AP139" s="38" t="e">
        <f t="shared" si="16"/>
        <v>#DIV/0!</v>
      </c>
      <c r="AQ139" s="39" t="e">
        <f t="shared" si="17"/>
        <v>#DIV/0!</v>
      </c>
    </row>
    <row r="140" spans="1:43" ht="20.100000000000001" customHeight="1" x14ac:dyDescent="0.25">
      <c r="A140" s="8">
        <v>138</v>
      </c>
      <c r="B140" s="48"/>
      <c r="C140" s="48"/>
      <c r="D140" s="48"/>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c r="AC140" s="49"/>
      <c r="AD140" s="49"/>
      <c r="AE140" s="49"/>
      <c r="AF140" s="49"/>
      <c r="AG140" s="49"/>
      <c r="AH140" s="49"/>
      <c r="AI140" s="49"/>
      <c r="AJ140" s="49"/>
      <c r="AK140" s="49"/>
      <c r="AL140" s="40">
        <f t="shared" si="12"/>
        <v>0</v>
      </c>
      <c r="AM140" s="37">
        <f t="shared" si="13"/>
        <v>0</v>
      </c>
      <c r="AN140" s="37">
        <f t="shared" si="14"/>
        <v>0</v>
      </c>
      <c r="AO140" s="38" t="e">
        <f t="shared" si="15"/>
        <v>#DIV/0!</v>
      </c>
      <c r="AP140" s="38" t="e">
        <f t="shared" si="16"/>
        <v>#DIV/0!</v>
      </c>
      <c r="AQ140" s="39" t="e">
        <f t="shared" si="17"/>
        <v>#DIV/0!</v>
      </c>
    </row>
    <row r="141" spans="1:43" ht="20.100000000000001" customHeight="1" x14ac:dyDescent="0.25">
      <c r="A141" s="8">
        <v>139</v>
      </c>
      <c r="B141" s="48"/>
      <c r="C141" s="48"/>
      <c r="D141" s="48"/>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c r="AC141" s="49"/>
      <c r="AD141" s="49"/>
      <c r="AE141" s="49"/>
      <c r="AF141" s="49"/>
      <c r="AG141" s="49"/>
      <c r="AH141" s="49"/>
      <c r="AI141" s="49"/>
      <c r="AJ141" s="49"/>
      <c r="AK141" s="49"/>
      <c r="AL141" s="40">
        <f t="shared" si="12"/>
        <v>0</v>
      </c>
      <c r="AM141" s="37">
        <f t="shared" si="13"/>
        <v>0</v>
      </c>
      <c r="AN141" s="37">
        <f t="shared" si="14"/>
        <v>0</v>
      </c>
      <c r="AO141" s="38" t="e">
        <f t="shared" si="15"/>
        <v>#DIV/0!</v>
      </c>
      <c r="AP141" s="38" t="e">
        <f t="shared" si="16"/>
        <v>#DIV/0!</v>
      </c>
      <c r="AQ141" s="39" t="e">
        <f t="shared" si="17"/>
        <v>#DIV/0!</v>
      </c>
    </row>
    <row r="142" spans="1:43" ht="20.100000000000001" customHeight="1" x14ac:dyDescent="0.25">
      <c r="A142" s="8">
        <v>140</v>
      </c>
      <c r="B142" s="48"/>
      <c r="C142" s="48"/>
      <c r="D142" s="48"/>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c r="AC142" s="49"/>
      <c r="AD142" s="49"/>
      <c r="AE142" s="49"/>
      <c r="AF142" s="49"/>
      <c r="AG142" s="49"/>
      <c r="AH142" s="49"/>
      <c r="AI142" s="49"/>
      <c r="AJ142" s="49"/>
      <c r="AK142" s="49"/>
      <c r="AL142" s="40">
        <f t="shared" si="12"/>
        <v>0</v>
      </c>
      <c r="AM142" s="37">
        <f t="shared" si="13"/>
        <v>0</v>
      </c>
      <c r="AN142" s="37">
        <f t="shared" si="14"/>
        <v>0</v>
      </c>
      <c r="AO142" s="38" t="e">
        <f t="shared" si="15"/>
        <v>#DIV/0!</v>
      </c>
      <c r="AP142" s="38" t="e">
        <f t="shared" si="16"/>
        <v>#DIV/0!</v>
      </c>
      <c r="AQ142" s="39" t="e">
        <f t="shared" si="17"/>
        <v>#DIV/0!</v>
      </c>
    </row>
    <row r="143" spans="1:43" ht="20.100000000000001" customHeight="1" x14ac:dyDescent="0.25">
      <c r="A143" s="8">
        <v>141</v>
      </c>
      <c r="B143" s="48"/>
      <c r="C143" s="48"/>
      <c r="D143" s="48"/>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c r="AC143" s="49"/>
      <c r="AD143" s="49"/>
      <c r="AE143" s="49"/>
      <c r="AF143" s="49"/>
      <c r="AG143" s="49"/>
      <c r="AH143" s="49"/>
      <c r="AI143" s="49"/>
      <c r="AJ143" s="49"/>
      <c r="AK143" s="49"/>
      <c r="AL143" s="40">
        <f t="shared" si="12"/>
        <v>0</v>
      </c>
      <c r="AM143" s="37">
        <f t="shared" si="13"/>
        <v>0</v>
      </c>
      <c r="AN143" s="37">
        <f t="shared" si="14"/>
        <v>0</v>
      </c>
      <c r="AO143" s="38" t="e">
        <f t="shared" si="15"/>
        <v>#DIV/0!</v>
      </c>
      <c r="AP143" s="38" t="e">
        <f t="shared" si="16"/>
        <v>#DIV/0!</v>
      </c>
      <c r="AQ143" s="39" t="e">
        <f t="shared" si="17"/>
        <v>#DIV/0!</v>
      </c>
    </row>
    <row r="144" spans="1:43" ht="20.100000000000001" customHeight="1" x14ac:dyDescent="0.25">
      <c r="A144" s="8">
        <v>142</v>
      </c>
      <c r="B144" s="48"/>
      <c r="C144" s="48"/>
      <c r="D144" s="48"/>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c r="AC144" s="49"/>
      <c r="AD144" s="49"/>
      <c r="AE144" s="49"/>
      <c r="AF144" s="49"/>
      <c r="AG144" s="49"/>
      <c r="AH144" s="49"/>
      <c r="AI144" s="49"/>
      <c r="AJ144" s="49"/>
      <c r="AK144" s="49"/>
      <c r="AL144" s="40">
        <f t="shared" si="12"/>
        <v>0</v>
      </c>
      <c r="AM144" s="37">
        <f t="shared" si="13"/>
        <v>0</v>
      </c>
      <c r="AN144" s="37">
        <f t="shared" si="14"/>
        <v>0</v>
      </c>
      <c r="AO144" s="38" t="e">
        <f t="shared" si="15"/>
        <v>#DIV/0!</v>
      </c>
      <c r="AP144" s="38" t="e">
        <f t="shared" si="16"/>
        <v>#DIV/0!</v>
      </c>
      <c r="AQ144" s="39" t="e">
        <f t="shared" si="17"/>
        <v>#DIV/0!</v>
      </c>
    </row>
    <row r="145" spans="1:43" ht="20.100000000000001" customHeight="1" x14ac:dyDescent="0.25">
      <c r="A145" s="8">
        <v>143</v>
      </c>
      <c r="B145" s="48"/>
      <c r="C145" s="48"/>
      <c r="D145" s="48"/>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c r="AC145" s="49"/>
      <c r="AD145" s="49"/>
      <c r="AE145" s="49"/>
      <c r="AF145" s="49"/>
      <c r="AG145" s="49"/>
      <c r="AH145" s="49"/>
      <c r="AI145" s="49"/>
      <c r="AJ145" s="49"/>
      <c r="AK145" s="49"/>
      <c r="AL145" s="40">
        <f t="shared" si="12"/>
        <v>0</v>
      </c>
      <c r="AM145" s="37">
        <f t="shared" si="13"/>
        <v>0</v>
      </c>
      <c r="AN145" s="37">
        <f t="shared" si="14"/>
        <v>0</v>
      </c>
      <c r="AO145" s="38" t="e">
        <f t="shared" si="15"/>
        <v>#DIV/0!</v>
      </c>
      <c r="AP145" s="38" t="e">
        <f t="shared" si="16"/>
        <v>#DIV/0!</v>
      </c>
      <c r="AQ145" s="39" t="e">
        <f t="shared" si="17"/>
        <v>#DIV/0!</v>
      </c>
    </row>
    <row r="146" spans="1:43" ht="20.100000000000001" customHeight="1" x14ac:dyDescent="0.25">
      <c r="A146" s="8">
        <v>144</v>
      </c>
      <c r="B146" s="48"/>
      <c r="C146" s="48"/>
      <c r="D146" s="48"/>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c r="AC146" s="49"/>
      <c r="AD146" s="49"/>
      <c r="AE146" s="49"/>
      <c r="AF146" s="49"/>
      <c r="AG146" s="49"/>
      <c r="AH146" s="49"/>
      <c r="AI146" s="49"/>
      <c r="AJ146" s="49"/>
      <c r="AK146" s="49"/>
      <c r="AL146" s="40">
        <f t="shared" si="12"/>
        <v>0</v>
      </c>
      <c r="AM146" s="37">
        <f t="shared" si="13"/>
        <v>0</v>
      </c>
      <c r="AN146" s="37">
        <f t="shared" si="14"/>
        <v>0</v>
      </c>
      <c r="AO146" s="38" t="e">
        <f t="shared" si="15"/>
        <v>#DIV/0!</v>
      </c>
      <c r="AP146" s="38" t="e">
        <f t="shared" si="16"/>
        <v>#DIV/0!</v>
      </c>
      <c r="AQ146" s="39" t="e">
        <f t="shared" si="17"/>
        <v>#DIV/0!</v>
      </c>
    </row>
    <row r="147" spans="1:43" ht="20.100000000000001" customHeight="1" x14ac:dyDescent="0.25">
      <c r="A147" s="8">
        <v>145</v>
      </c>
      <c r="B147" s="48"/>
      <c r="C147" s="48"/>
      <c r="D147" s="48"/>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c r="AC147" s="49"/>
      <c r="AD147" s="49"/>
      <c r="AE147" s="49"/>
      <c r="AF147" s="49"/>
      <c r="AG147" s="49"/>
      <c r="AH147" s="49"/>
      <c r="AI147" s="49"/>
      <c r="AJ147" s="49"/>
      <c r="AK147" s="49"/>
      <c r="AL147" s="40">
        <f t="shared" si="12"/>
        <v>0</v>
      </c>
      <c r="AM147" s="37">
        <f t="shared" si="13"/>
        <v>0</v>
      </c>
      <c r="AN147" s="37">
        <f t="shared" si="14"/>
        <v>0</v>
      </c>
      <c r="AO147" s="38" t="e">
        <f t="shared" si="15"/>
        <v>#DIV/0!</v>
      </c>
      <c r="AP147" s="38" t="e">
        <f t="shared" si="16"/>
        <v>#DIV/0!</v>
      </c>
      <c r="AQ147" s="39" t="e">
        <f t="shared" si="17"/>
        <v>#DIV/0!</v>
      </c>
    </row>
    <row r="148" spans="1:43" ht="20.100000000000001" customHeight="1" x14ac:dyDescent="0.25">
      <c r="A148" s="8">
        <v>146</v>
      </c>
      <c r="B148" s="48"/>
      <c r="C148" s="48"/>
      <c r="D148" s="48"/>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0">
        <f t="shared" si="12"/>
        <v>0</v>
      </c>
      <c r="AM148" s="37">
        <f t="shared" si="13"/>
        <v>0</v>
      </c>
      <c r="AN148" s="37">
        <f t="shared" si="14"/>
        <v>0</v>
      </c>
      <c r="AO148" s="38" t="e">
        <f t="shared" si="15"/>
        <v>#DIV/0!</v>
      </c>
      <c r="AP148" s="38" t="e">
        <f t="shared" si="16"/>
        <v>#DIV/0!</v>
      </c>
      <c r="AQ148" s="39" t="e">
        <f t="shared" si="17"/>
        <v>#DIV/0!</v>
      </c>
    </row>
    <row r="149" spans="1:43" ht="20.100000000000001" customHeight="1" x14ac:dyDescent="0.25">
      <c r="A149" s="8">
        <v>147</v>
      </c>
      <c r="B149" s="48"/>
      <c r="C149" s="48"/>
      <c r="D149" s="48"/>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G149" s="49"/>
      <c r="AH149" s="49"/>
      <c r="AI149" s="49"/>
      <c r="AJ149" s="49"/>
      <c r="AK149" s="49"/>
      <c r="AL149" s="40">
        <f t="shared" si="12"/>
        <v>0</v>
      </c>
      <c r="AM149" s="37">
        <f t="shared" si="13"/>
        <v>0</v>
      </c>
      <c r="AN149" s="37">
        <f t="shared" si="14"/>
        <v>0</v>
      </c>
      <c r="AO149" s="38" t="e">
        <f t="shared" si="15"/>
        <v>#DIV/0!</v>
      </c>
      <c r="AP149" s="38" t="e">
        <f t="shared" si="16"/>
        <v>#DIV/0!</v>
      </c>
      <c r="AQ149" s="39" t="e">
        <f t="shared" si="17"/>
        <v>#DIV/0!</v>
      </c>
    </row>
    <row r="150" spans="1:43" ht="20.100000000000001" customHeight="1" x14ac:dyDescent="0.25">
      <c r="A150" s="8">
        <v>148</v>
      </c>
      <c r="B150" s="48"/>
      <c r="C150" s="48"/>
      <c r="D150" s="48"/>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G150" s="49"/>
      <c r="AH150" s="49"/>
      <c r="AI150" s="49"/>
      <c r="AJ150" s="49"/>
      <c r="AK150" s="49"/>
      <c r="AL150" s="40">
        <f t="shared" si="12"/>
        <v>0</v>
      </c>
      <c r="AM150" s="37">
        <f t="shared" si="13"/>
        <v>0</v>
      </c>
      <c r="AN150" s="37">
        <f t="shared" si="14"/>
        <v>0</v>
      </c>
      <c r="AO150" s="38" t="e">
        <f t="shared" si="15"/>
        <v>#DIV/0!</v>
      </c>
      <c r="AP150" s="38" t="e">
        <f t="shared" si="16"/>
        <v>#DIV/0!</v>
      </c>
      <c r="AQ150" s="39" t="e">
        <f t="shared" si="17"/>
        <v>#DIV/0!</v>
      </c>
    </row>
    <row r="151" spans="1:43" ht="20.100000000000001" customHeight="1" x14ac:dyDescent="0.25">
      <c r="A151" s="8">
        <v>149</v>
      </c>
      <c r="B151" s="48"/>
      <c r="C151" s="48"/>
      <c r="D151" s="48"/>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G151" s="49"/>
      <c r="AH151" s="49"/>
      <c r="AI151" s="49"/>
      <c r="AJ151" s="49"/>
      <c r="AK151" s="49"/>
      <c r="AL151" s="40">
        <f t="shared" si="12"/>
        <v>0</v>
      </c>
      <c r="AM151" s="37">
        <f t="shared" si="13"/>
        <v>0</v>
      </c>
      <c r="AN151" s="37">
        <f t="shared" si="14"/>
        <v>0</v>
      </c>
      <c r="AO151" s="38" t="e">
        <f t="shared" si="15"/>
        <v>#DIV/0!</v>
      </c>
      <c r="AP151" s="38" t="e">
        <f t="shared" si="16"/>
        <v>#DIV/0!</v>
      </c>
      <c r="AQ151" s="39" t="e">
        <f t="shared" si="17"/>
        <v>#DIV/0!</v>
      </c>
    </row>
    <row r="152" spans="1:43" ht="20.100000000000001" customHeight="1" x14ac:dyDescent="0.25">
      <c r="A152" s="8">
        <v>150</v>
      </c>
      <c r="B152" s="48"/>
      <c r="C152" s="48"/>
      <c r="D152" s="48"/>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0">
        <f t="shared" si="12"/>
        <v>0</v>
      </c>
      <c r="AM152" s="37">
        <f t="shared" si="13"/>
        <v>0</v>
      </c>
      <c r="AN152" s="37">
        <f t="shared" si="14"/>
        <v>0</v>
      </c>
      <c r="AO152" s="38" t="e">
        <f t="shared" si="15"/>
        <v>#DIV/0!</v>
      </c>
      <c r="AP152" s="38" t="e">
        <f t="shared" si="16"/>
        <v>#DIV/0!</v>
      </c>
      <c r="AQ152" s="39" t="e">
        <f t="shared" si="17"/>
        <v>#DIV/0!</v>
      </c>
    </row>
    <row r="153" spans="1:43" ht="20.100000000000001" customHeight="1" x14ac:dyDescent="0.25">
      <c r="A153" s="8">
        <v>151</v>
      </c>
      <c r="B153" s="48"/>
      <c r="C153" s="48"/>
      <c r="D153" s="48"/>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0">
        <f t="shared" si="12"/>
        <v>0</v>
      </c>
      <c r="AM153" s="37">
        <f t="shared" si="13"/>
        <v>0</v>
      </c>
      <c r="AN153" s="37">
        <f t="shared" si="14"/>
        <v>0</v>
      </c>
      <c r="AO153" s="38" t="e">
        <f t="shared" si="15"/>
        <v>#DIV/0!</v>
      </c>
      <c r="AP153" s="38" t="e">
        <f t="shared" si="16"/>
        <v>#DIV/0!</v>
      </c>
      <c r="AQ153" s="39" t="e">
        <f t="shared" si="17"/>
        <v>#DIV/0!</v>
      </c>
    </row>
    <row r="154" spans="1:43" ht="20.100000000000001" customHeight="1" x14ac:dyDescent="0.25">
      <c r="A154" s="8">
        <v>152</v>
      </c>
      <c r="B154" s="48"/>
      <c r="C154" s="48"/>
      <c r="D154" s="48"/>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0">
        <f t="shared" si="12"/>
        <v>0</v>
      </c>
      <c r="AM154" s="37">
        <f t="shared" si="13"/>
        <v>0</v>
      </c>
      <c r="AN154" s="37">
        <f t="shared" si="14"/>
        <v>0</v>
      </c>
      <c r="AO154" s="38" t="e">
        <f t="shared" si="15"/>
        <v>#DIV/0!</v>
      </c>
      <c r="AP154" s="38" t="e">
        <f t="shared" si="16"/>
        <v>#DIV/0!</v>
      </c>
      <c r="AQ154" s="39" t="e">
        <f t="shared" si="17"/>
        <v>#DIV/0!</v>
      </c>
    </row>
    <row r="155" spans="1:43" ht="20.100000000000001" customHeight="1" x14ac:dyDescent="0.25">
      <c r="A155" s="8">
        <v>153</v>
      </c>
      <c r="B155" s="48"/>
      <c r="C155" s="48"/>
      <c r="D155" s="48"/>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c r="AI155" s="49"/>
      <c r="AJ155" s="49"/>
      <c r="AK155" s="49"/>
      <c r="AL155" s="40">
        <f t="shared" si="12"/>
        <v>0</v>
      </c>
      <c r="AM155" s="37">
        <f t="shared" si="13"/>
        <v>0</v>
      </c>
      <c r="AN155" s="37">
        <f t="shared" si="14"/>
        <v>0</v>
      </c>
      <c r="AO155" s="38" t="e">
        <f t="shared" si="15"/>
        <v>#DIV/0!</v>
      </c>
      <c r="AP155" s="38" t="e">
        <f t="shared" si="16"/>
        <v>#DIV/0!</v>
      </c>
      <c r="AQ155" s="39" t="e">
        <f t="shared" si="17"/>
        <v>#DIV/0!</v>
      </c>
    </row>
    <row r="156" spans="1:43" ht="20.100000000000001" customHeight="1" x14ac:dyDescent="0.25">
      <c r="A156" s="8">
        <v>154</v>
      </c>
      <c r="B156" s="48"/>
      <c r="C156" s="48"/>
      <c r="D156" s="48"/>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c r="AI156" s="49"/>
      <c r="AJ156" s="49"/>
      <c r="AK156" s="49"/>
      <c r="AL156" s="40">
        <f t="shared" si="12"/>
        <v>0</v>
      </c>
      <c r="AM156" s="37">
        <f t="shared" si="13"/>
        <v>0</v>
      </c>
      <c r="AN156" s="37">
        <f t="shared" si="14"/>
        <v>0</v>
      </c>
      <c r="AO156" s="38" t="e">
        <f t="shared" si="15"/>
        <v>#DIV/0!</v>
      </c>
      <c r="AP156" s="38" t="e">
        <f t="shared" si="16"/>
        <v>#DIV/0!</v>
      </c>
      <c r="AQ156" s="39" t="e">
        <f t="shared" si="17"/>
        <v>#DIV/0!</v>
      </c>
    </row>
    <row r="157" spans="1:43" ht="20.100000000000001" customHeight="1" x14ac:dyDescent="0.25">
      <c r="A157" s="8">
        <v>155</v>
      </c>
      <c r="B157" s="48"/>
      <c r="C157" s="48"/>
      <c r="D157" s="48"/>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0">
        <f t="shared" si="12"/>
        <v>0</v>
      </c>
      <c r="AM157" s="37">
        <f t="shared" si="13"/>
        <v>0</v>
      </c>
      <c r="AN157" s="37">
        <f t="shared" si="14"/>
        <v>0</v>
      </c>
      <c r="AO157" s="38" t="e">
        <f t="shared" si="15"/>
        <v>#DIV/0!</v>
      </c>
      <c r="AP157" s="38" t="e">
        <f t="shared" si="16"/>
        <v>#DIV/0!</v>
      </c>
      <c r="AQ157" s="39" t="e">
        <f t="shared" si="17"/>
        <v>#DIV/0!</v>
      </c>
    </row>
    <row r="158" spans="1:43" ht="20.100000000000001" customHeight="1" x14ac:dyDescent="0.25">
      <c r="A158" s="8">
        <v>156</v>
      </c>
      <c r="B158" s="48"/>
      <c r="C158" s="48"/>
      <c r="D158" s="48"/>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0">
        <f t="shared" si="12"/>
        <v>0</v>
      </c>
      <c r="AM158" s="37">
        <f t="shared" si="13"/>
        <v>0</v>
      </c>
      <c r="AN158" s="37">
        <f t="shared" si="14"/>
        <v>0</v>
      </c>
      <c r="AO158" s="38" t="e">
        <f t="shared" si="15"/>
        <v>#DIV/0!</v>
      </c>
      <c r="AP158" s="38" t="e">
        <f t="shared" si="16"/>
        <v>#DIV/0!</v>
      </c>
      <c r="AQ158" s="39" t="e">
        <f t="shared" si="17"/>
        <v>#DIV/0!</v>
      </c>
    </row>
    <row r="159" spans="1:43" ht="20.100000000000001" customHeight="1" x14ac:dyDescent="0.25">
      <c r="A159" s="8">
        <v>157</v>
      </c>
      <c r="B159" s="48"/>
      <c r="C159" s="48"/>
      <c r="D159" s="48"/>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0">
        <f t="shared" si="12"/>
        <v>0</v>
      </c>
      <c r="AM159" s="37">
        <f t="shared" si="13"/>
        <v>0</v>
      </c>
      <c r="AN159" s="37">
        <f t="shared" si="14"/>
        <v>0</v>
      </c>
      <c r="AO159" s="38" t="e">
        <f t="shared" si="15"/>
        <v>#DIV/0!</v>
      </c>
      <c r="AP159" s="38" t="e">
        <f t="shared" si="16"/>
        <v>#DIV/0!</v>
      </c>
      <c r="AQ159" s="39" t="e">
        <f t="shared" si="17"/>
        <v>#DIV/0!</v>
      </c>
    </row>
    <row r="160" spans="1:43" ht="20.100000000000001" customHeight="1" x14ac:dyDescent="0.25">
      <c r="A160" s="8">
        <v>158</v>
      </c>
      <c r="B160" s="48"/>
      <c r="C160" s="48"/>
      <c r="D160" s="48"/>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0">
        <f t="shared" si="12"/>
        <v>0</v>
      </c>
      <c r="AM160" s="37">
        <f t="shared" si="13"/>
        <v>0</v>
      </c>
      <c r="AN160" s="37">
        <f t="shared" si="14"/>
        <v>0</v>
      </c>
      <c r="AO160" s="38" t="e">
        <f t="shared" si="15"/>
        <v>#DIV/0!</v>
      </c>
      <c r="AP160" s="38" t="e">
        <f t="shared" si="16"/>
        <v>#DIV/0!</v>
      </c>
      <c r="AQ160" s="39" t="e">
        <f t="shared" si="17"/>
        <v>#DIV/0!</v>
      </c>
    </row>
    <row r="161" spans="1:43" ht="20.100000000000001" customHeight="1" x14ac:dyDescent="0.25">
      <c r="A161" s="8">
        <v>159</v>
      </c>
      <c r="B161" s="48"/>
      <c r="C161" s="48"/>
      <c r="D161" s="48"/>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0">
        <f t="shared" si="12"/>
        <v>0</v>
      </c>
      <c r="AM161" s="37">
        <f t="shared" si="13"/>
        <v>0</v>
      </c>
      <c r="AN161" s="37">
        <f t="shared" si="14"/>
        <v>0</v>
      </c>
      <c r="AO161" s="38" t="e">
        <f t="shared" si="15"/>
        <v>#DIV/0!</v>
      </c>
      <c r="AP161" s="38" t="e">
        <f t="shared" si="16"/>
        <v>#DIV/0!</v>
      </c>
      <c r="AQ161" s="39" t="e">
        <f t="shared" si="17"/>
        <v>#DIV/0!</v>
      </c>
    </row>
    <row r="162" spans="1:43" ht="20.100000000000001" customHeight="1" x14ac:dyDescent="0.25">
      <c r="A162" s="8">
        <v>160</v>
      </c>
      <c r="B162" s="48"/>
      <c r="C162" s="48"/>
      <c r="D162" s="48"/>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0">
        <f t="shared" si="12"/>
        <v>0</v>
      </c>
      <c r="AM162" s="37">
        <f t="shared" si="13"/>
        <v>0</v>
      </c>
      <c r="AN162" s="37">
        <f t="shared" si="14"/>
        <v>0</v>
      </c>
      <c r="AO162" s="38" t="e">
        <f t="shared" si="15"/>
        <v>#DIV/0!</v>
      </c>
      <c r="AP162" s="38" t="e">
        <f t="shared" si="16"/>
        <v>#DIV/0!</v>
      </c>
      <c r="AQ162" s="39" t="e">
        <f t="shared" si="17"/>
        <v>#DIV/0!</v>
      </c>
    </row>
    <row r="163" spans="1:43" ht="20.100000000000001" customHeight="1" x14ac:dyDescent="0.25">
      <c r="A163" s="8">
        <v>161</v>
      </c>
      <c r="B163" s="48"/>
      <c r="C163" s="48"/>
      <c r="D163" s="48"/>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0">
        <f t="shared" si="12"/>
        <v>0</v>
      </c>
      <c r="AM163" s="37">
        <f t="shared" si="13"/>
        <v>0</v>
      </c>
      <c r="AN163" s="37">
        <f t="shared" si="14"/>
        <v>0</v>
      </c>
      <c r="AO163" s="38" t="e">
        <f t="shared" si="15"/>
        <v>#DIV/0!</v>
      </c>
      <c r="AP163" s="38" t="e">
        <f t="shared" si="16"/>
        <v>#DIV/0!</v>
      </c>
      <c r="AQ163" s="39" t="e">
        <f t="shared" si="17"/>
        <v>#DIV/0!</v>
      </c>
    </row>
    <row r="164" spans="1:43" ht="20.100000000000001" customHeight="1" x14ac:dyDescent="0.25">
      <c r="A164" s="8">
        <v>162</v>
      </c>
      <c r="B164" s="48"/>
      <c r="C164" s="48"/>
      <c r="D164" s="48"/>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0">
        <f t="shared" si="12"/>
        <v>0</v>
      </c>
      <c r="AM164" s="37">
        <f t="shared" si="13"/>
        <v>0</v>
      </c>
      <c r="AN164" s="37">
        <f t="shared" si="14"/>
        <v>0</v>
      </c>
      <c r="AO164" s="38" t="e">
        <f t="shared" si="15"/>
        <v>#DIV/0!</v>
      </c>
      <c r="AP164" s="38" t="e">
        <f t="shared" si="16"/>
        <v>#DIV/0!</v>
      </c>
      <c r="AQ164" s="39" t="e">
        <f t="shared" si="17"/>
        <v>#DIV/0!</v>
      </c>
    </row>
    <row r="165" spans="1:43" ht="20.100000000000001" customHeight="1" x14ac:dyDescent="0.25">
      <c r="A165" s="8">
        <v>163</v>
      </c>
      <c r="B165" s="48"/>
      <c r="C165" s="48"/>
      <c r="D165" s="48"/>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0">
        <f t="shared" si="12"/>
        <v>0</v>
      </c>
      <c r="AM165" s="37">
        <f t="shared" si="13"/>
        <v>0</v>
      </c>
      <c r="AN165" s="37">
        <f t="shared" si="14"/>
        <v>0</v>
      </c>
      <c r="AO165" s="38" t="e">
        <f t="shared" si="15"/>
        <v>#DIV/0!</v>
      </c>
      <c r="AP165" s="38" t="e">
        <f t="shared" si="16"/>
        <v>#DIV/0!</v>
      </c>
      <c r="AQ165" s="39" t="e">
        <f t="shared" si="17"/>
        <v>#DIV/0!</v>
      </c>
    </row>
    <row r="166" spans="1:43" ht="20.100000000000001" customHeight="1" x14ac:dyDescent="0.25">
      <c r="A166" s="8">
        <v>164</v>
      </c>
      <c r="B166" s="48"/>
      <c r="C166" s="48"/>
      <c r="D166" s="48"/>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0">
        <f t="shared" si="12"/>
        <v>0</v>
      </c>
      <c r="AM166" s="37">
        <f t="shared" si="13"/>
        <v>0</v>
      </c>
      <c r="AN166" s="37">
        <f t="shared" si="14"/>
        <v>0</v>
      </c>
      <c r="AO166" s="38" t="e">
        <f t="shared" si="15"/>
        <v>#DIV/0!</v>
      </c>
      <c r="AP166" s="38" t="e">
        <f t="shared" si="16"/>
        <v>#DIV/0!</v>
      </c>
      <c r="AQ166" s="39" t="e">
        <f t="shared" si="17"/>
        <v>#DIV/0!</v>
      </c>
    </row>
    <row r="167" spans="1:43" ht="20.100000000000001" customHeight="1" x14ac:dyDescent="0.25">
      <c r="A167" s="8">
        <v>165</v>
      </c>
      <c r="B167" s="48"/>
      <c r="C167" s="48"/>
      <c r="D167" s="48"/>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0">
        <f t="shared" si="12"/>
        <v>0</v>
      </c>
      <c r="AM167" s="37">
        <f t="shared" si="13"/>
        <v>0</v>
      </c>
      <c r="AN167" s="37">
        <f t="shared" si="14"/>
        <v>0</v>
      </c>
      <c r="AO167" s="38" t="e">
        <f t="shared" si="15"/>
        <v>#DIV/0!</v>
      </c>
      <c r="AP167" s="38" t="e">
        <f t="shared" si="16"/>
        <v>#DIV/0!</v>
      </c>
      <c r="AQ167" s="39" t="e">
        <f t="shared" si="17"/>
        <v>#DIV/0!</v>
      </c>
    </row>
    <row r="168" spans="1:43" ht="20.100000000000001" customHeight="1" x14ac:dyDescent="0.25">
      <c r="A168" s="8">
        <v>166</v>
      </c>
      <c r="B168" s="48"/>
      <c r="C168" s="48"/>
      <c r="D168" s="48"/>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0">
        <f t="shared" si="12"/>
        <v>0</v>
      </c>
      <c r="AM168" s="37">
        <f t="shared" si="13"/>
        <v>0</v>
      </c>
      <c r="AN168" s="37">
        <f t="shared" si="14"/>
        <v>0</v>
      </c>
      <c r="AO168" s="38" t="e">
        <f t="shared" si="15"/>
        <v>#DIV/0!</v>
      </c>
      <c r="AP168" s="38" t="e">
        <f t="shared" si="16"/>
        <v>#DIV/0!</v>
      </c>
      <c r="AQ168" s="39" t="e">
        <f t="shared" si="17"/>
        <v>#DIV/0!</v>
      </c>
    </row>
    <row r="169" spans="1:43" ht="20.100000000000001" customHeight="1" x14ac:dyDescent="0.25">
      <c r="A169" s="8">
        <v>167</v>
      </c>
      <c r="B169" s="48"/>
      <c r="C169" s="48"/>
      <c r="D169" s="48"/>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0">
        <f t="shared" si="12"/>
        <v>0</v>
      </c>
      <c r="AM169" s="37">
        <f t="shared" si="13"/>
        <v>0</v>
      </c>
      <c r="AN169" s="37">
        <f t="shared" si="14"/>
        <v>0</v>
      </c>
      <c r="AO169" s="38" t="e">
        <f t="shared" si="15"/>
        <v>#DIV/0!</v>
      </c>
      <c r="AP169" s="38" t="e">
        <f t="shared" si="16"/>
        <v>#DIV/0!</v>
      </c>
      <c r="AQ169" s="39" t="e">
        <f t="shared" si="17"/>
        <v>#DIV/0!</v>
      </c>
    </row>
    <row r="170" spans="1:43" ht="20.100000000000001" customHeight="1" x14ac:dyDescent="0.25">
      <c r="A170" s="8">
        <v>168</v>
      </c>
      <c r="B170" s="48"/>
      <c r="C170" s="48"/>
      <c r="D170" s="48"/>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0">
        <f t="shared" si="12"/>
        <v>0</v>
      </c>
      <c r="AM170" s="37">
        <f t="shared" si="13"/>
        <v>0</v>
      </c>
      <c r="AN170" s="37">
        <f t="shared" si="14"/>
        <v>0</v>
      </c>
      <c r="AO170" s="38" t="e">
        <f t="shared" si="15"/>
        <v>#DIV/0!</v>
      </c>
      <c r="AP170" s="38" t="e">
        <f t="shared" si="16"/>
        <v>#DIV/0!</v>
      </c>
      <c r="AQ170" s="39" t="e">
        <f t="shared" si="17"/>
        <v>#DIV/0!</v>
      </c>
    </row>
    <row r="171" spans="1:43" ht="20.100000000000001" customHeight="1" x14ac:dyDescent="0.25">
      <c r="A171" s="8">
        <v>169</v>
      </c>
      <c r="B171" s="48"/>
      <c r="C171" s="48"/>
      <c r="D171" s="48"/>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0">
        <f t="shared" si="12"/>
        <v>0</v>
      </c>
      <c r="AM171" s="37">
        <f t="shared" si="13"/>
        <v>0</v>
      </c>
      <c r="AN171" s="37">
        <f t="shared" si="14"/>
        <v>0</v>
      </c>
      <c r="AO171" s="38" t="e">
        <f t="shared" si="15"/>
        <v>#DIV/0!</v>
      </c>
      <c r="AP171" s="38" t="e">
        <f t="shared" si="16"/>
        <v>#DIV/0!</v>
      </c>
      <c r="AQ171" s="39" t="e">
        <f t="shared" si="17"/>
        <v>#DIV/0!</v>
      </c>
    </row>
    <row r="172" spans="1:43" ht="20.100000000000001" customHeight="1" x14ac:dyDescent="0.25">
      <c r="A172" s="8">
        <v>170</v>
      </c>
      <c r="B172" s="48"/>
      <c r="C172" s="48"/>
      <c r="D172" s="48"/>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0">
        <f t="shared" si="12"/>
        <v>0</v>
      </c>
      <c r="AM172" s="37">
        <f t="shared" si="13"/>
        <v>0</v>
      </c>
      <c r="AN172" s="37">
        <f t="shared" si="14"/>
        <v>0</v>
      </c>
      <c r="AO172" s="38" t="e">
        <f t="shared" si="15"/>
        <v>#DIV/0!</v>
      </c>
      <c r="AP172" s="38" t="e">
        <f t="shared" si="16"/>
        <v>#DIV/0!</v>
      </c>
      <c r="AQ172" s="39" t="e">
        <f t="shared" si="17"/>
        <v>#DIV/0!</v>
      </c>
    </row>
    <row r="173" spans="1:43" ht="20.100000000000001" customHeight="1" x14ac:dyDescent="0.25">
      <c r="A173" s="8">
        <v>171</v>
      </c>
      <c r="B173" s="48"/>
      <c r="C173" s="48"/>
      <c r="D173" s="48"/>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0">
        <f t="shared" si="12"/>
        <v>0</v>
      </c>
      <c r="AM173" s="37">
        <f t="shared" si="13"/>
        <v>0</v>
      </c>
      <c r="AN173" s="37">
        <f t="shared" si="14"/>
        <v>0</v>
      </c>
      <c r="AO173" s="38" t="e">
        <f t="shared" si="15"/>
        <v>#DIV/0!</v>
      </c>
      <c r="AP173" s="38" t="e">
        <f t="shared" si="16"/>
        <v>#DIV/0!</v>
      </c>
      <c r="AQ173" s="39" t="e">
        <f t="shared" si="17"/>
        <v>#DIV/0!</v>
      </c>
    </row>
    <row r="174" spans="1:43" ht="20.100000000000001" customHeight="1" x14ac:dyDescent="0.25">
      <c r="A174" s="8">
        <v>172</v>
      </c>
      <c r="B174" s="48"/>
      <c r="C174" s="48"/>
      <c r="D174" s="48"/>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0">
        <f t="shared" si="12"/>
        <v>0</v>
      </c>
      <c r="AM174" s="37">
        <f t="shared" si="13"/>
        <v>0</v>
      </c>
      <c r="AN174" s="37">
        <f t="shared" si="14"/>
        <v>0</v>
      </c>
      <c r="AO174" s="38" t="e">
        <f t="shared" si="15"/>
        <v>#DIV/0!</v>
      </c>
      <c r="AP174" s="38" t="e">
        <f t="shared" si="16"/>
        <v>#DIV/0!</v>
      </c>
      <c r="AQ174" s="39" t="e">
        <f t="shared" si="17"/>
        <v>#DIV/0!</v>
      </c>
    </row>
    <row r="175" spans="1:43" ht="20.100000000000001" customHeight="1" x14ac:dyDescent="0.25">
      <c r="A175" s="8">
        <v>173</v>
      </c>
      <c r="B175" s="48"/>
      <c r="C175" s="48"/>
      <c r="D175" s="48"/>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0">
        <f t="shared" si="12"/>
        <v>0</v>
      </c>
      <c r="AM175" s="37">
        <f t="shared" si="13"/>
        <v>0</v>
      </c>
      <c r="AN175" s="37">
        <f t="shared" si="14"/>
        <v>0</v>
      </c>
      <c r="AO175" s="38" t="e">
        <f t="shared" si="15"/>
        <v>#DIV/0!</v>
      </c>
      <c r="AP175" s="38" t="e">
        <f t="shared" si="16"/>
        <v>#DIV/0!</v>
      </c>
      <c r="AQ175" s="39" t="e">
        <f t="shared" si="17"/>
        <v>#DIV/0!</v>
      </c>
    </row>
    <row r="176" spans="1:43" ht="20.100000000000001" customHeight="1" x14ac:dyDescent="0.25">
      <c r="A176" s="8">
        <v>174</v>
      </c>
      <c r="B176" s="48"/>
      <c r="C176" s="48"/>
      <c r="D176" s="48"/>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0">
        <f t="shared" si="12"/>
        <v>0</v>
      </c>
      <c r="AM176" s="37">
        <f t="shared" si="13"/>
        <v>0</v>
      </c>
      <c r="AN176" s="37">
        <f t="shared" si="14"/>
        <v>0</v>
      </c>
      <c r="AO176" s="38" t="e">
        <f t="shared" si="15"/>
        <v>#DIV/0!</v>
      </c>
      <c r="AP176" s="38" t="e">
        <f t="shared" si="16"/>
        <v>#DIV/0!</v>
      </c>
      <c r="AQ176" s="39" t="e">
        <f t="shared" si="17"/>
        <v>#DIV/0!</v>
      </c>
    </row>
    <row r="177" spans="1:43" ht="20.100000000000001" customHeight="1" x14ac:dyDescent="0.25">
      <c r="A177" s="8">
        <v>175</v>
      </c>
      <c r="B177" s="48"/>
      <c r="C177" s="48"/>
      <c r="D177" s="48"/>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0">
        <f t="shared" si="12"/>
        <v>0</v>
      </c>
      <c r="AM177" s="37">
        <f t="shared" si="13"/>
        <v>0</v>
      </c>
      <c r="AN177" s="37">
        <f t="shared" si="14"/>
        <v>0</v>
      </c>
      <c r="AO177" s="38" t="e">
        <f t="shared" si="15"/>
        <v>#DIV/0!</v>
      </c>
      <c r="AP177" s="38" t="e">
        <f t="shared" si="16"/>
        <v>#DIV/0!</v>
      </c>
      <c r="AQ177" s="39" t="e">
        <f t="shared" si="17"/>
        <v>#DIV/0!</v>
      </c>
    </row>
    <row r="178" spans="1:43" ht="20.100000000000001" customHeight="1" x14ac:dyDescent="0.25">
      <c r="A178" s="8">
        <v>176</v>
      </c>
      <c r="B178" s="48"/>
      <c r="C178" s="48"/>
      <c r="D178" s="48"/>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0">
        <f t="shared" si="12"/>
        <v>0</v>
      </c>
      <c r="AM178" s="37">
        <f t="shared" si="13"/>
        <v>0</v>
      </c>
      <c r="AN178" s="37">
        <f t="shared" si="14"/>
        <v>0</v>
      </c>
      <c r="AO178" s="38" t="e">
        <f t="shared" si="15"/>
        <v>#DIV/0!</v>
      </c>
      <c r="AP178" s="38" t="e">
        <f t="shared" si="16"/>
        <v>#DIV/0!</v>
      </c>
      <c r="AQ178" s="39" t="e">
        <f t="shared" si="17"/>
        <v>#DIV/0!</v>
      </c>
    </row>
    <row r="179" spans="1:43" ht="20.100000000000001" customHeight="1" x14ac:dyDescent="0.25">
      <c r="A179" s="8">
        <v>177</v>
      </c>
      <c r="B179" s="48"/>
      <c r="C179" s="48"/>
      <c r="D179" s="48"/>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0">
        <f t="shared" si="12"/>
        <v>0</v>
      </c>
      <c r="AM179" s="37">
        <f t="shared" si="13"/>
        <v>0</v>
      </c>
      <c r="AN179" s="37">
        <f t="shared" si="14"/>
        <v>0</v>
      </c>
      <c r="AO179" s="38" t="e">
        <f t="shared" si="15"/>
        <v>#DIV/0!</v>
      </c>
      <c r="AP179" s="38" t="e">
        <f t="shared" si="16"/>
        <v>#DIV/0!</v>
      </c>
      <c r="AQ179" s="39" t="e">
        <f t="shared" si="17"/>
        <v>#DIV/0!</v>
      </c>
    </row>
    <row r="180" spans="1:43" ht="20.100000000000001" customHeight="1" x14ac:dyDescent="0.25">
      <c r="A180" s="8">
        <v>178</v>
      </c>
      <c r="B180" s="48"/>
      <c r="C180" s="48"/>
      <c r="D180" s="48"/>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G180" s="49"/>
      <c r="AH180" s="49"/>
      <c r="AI180" s="49"/>
      <c r="AJ180" s="49"/>
      <c r="AK180" s="49"/>
      <c r="AL180" s="40">
        <f t="shared" si="12"/>
        <v>0</v>
      </c>
      <c r="AM180" s="37">
        <f t="shared" si="13"/>
        <v>0</v>
      </c>
      <c r="AN180" s="37">
        <f t="shared" si="14"/>
        <v>0</v>
      </c>
      <c r="AO180" s="38" t="e">
        <f t="shared" si="15"/>
        <v>#DIV/0!</v>
      </c>
      <c r="AP180" s="38" t="e">
        <f t="shared" si="16"/>
        <v>#DIV/0!</v>
      </c>
      <c r="AQ180" s="39" t="e">
        <f t="shared" si="17"/>
        <v>#DIV/0!</v>
      </c>
    </row>
    <row r="181" spans="1:43" ht="20.100000000000001" customHeight="1" x14ac:dyDescent="0.25">
      <c r="A181" s="8">
        <v>179</v>
      </c>
      <c r="B181" s="48"/>
      <c r="C181" s="48"/>
      <c r="D181" s="48"/>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0">
        <f t="shared" si="12"/>
        <v>0</v>
      </c>
      <c r="AM181" s="37">
        <f t="shared" si="13"/>
        <v>0</v>
      </c>
      <c r="AN181" s="37">
        <f t="shared" si="14"/>
        <v>0</v>
      </c>
      <c r="AO181" s="38" t="e">
        <f t="shared" si="15"/>
        <v>#DIV/0!</v>
      </c>
      <c r="AP181" s="38" t="e">
        <f t="shared" si="16"/>
        <v>#DIV/0!</v>
      </c>
      <c r="AQ181" s="39" t="e">
        <f t="shared" si="17"/>
        <v>#DIV/0!</v>
      </c>
    </row>
    <row r="182" spans="1:43" ht="20.100000000000001" customHeight="1" x14ac:dyDescent="0.25">
      <c r="A182" s="8">
        <v>180</v>
      </c>
      <c r="B182" s="48"/>
      <c r="C182" s="48"/>
      <c r="D182" s="48"/>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0">
        <f t="shared" si="12"/>
        <v>0</v>
      </c>
      <c r="AM182" s="37">
        <f t="shared" si="13"/>
        <v>0</v>
      </c>
      <c r="AN182" s="37">
        <f t="shared" si="14"/>
        <v>0</v>
      </c>
      <c r="AO182" s="38" t="e">
        <f t="shared" si="15"/>
        <v>#DIV/0!</v>
      </c>
      <c r="AP182" s="38" t="e">
        <f t="shared" si="16"/>
        <v>#DIV/0!</v>
      </c>
      <c r="AQ182" s="39" t="e">
        <f t="shared" si="17"/>
        <v>#DIV/0!</v>
      </c>
    </row>
    <row r="183" spans="1:43" ht="20.100000000000001" customHeight="1" x14ac:dyDescent="0.25">
      <c r="A183" s="8">
        <v>181</v>
      </c>
      <c r="B183" s="48"/>
      <c r="C183" s="48"/>
      <c r="D183" s="48"/>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0">
        <f t="shared" si="12"/>
        <v>0</v>
      </c>
      <c r="AM183" s="37">
        <f t="shared" si="13"/>
        <v>0</v>
      </c>
      <c r="AN183" s="37">
        <f t="shared" si="14"/>
        <v>0</v>
      </c>
      <c r="AO183" s="38" t="e">
        <f t="shared" si="15"/>
        <v>#DIV/0!</v>
      </c>
      <c r="AP183" s="38" t="e">
        <f t="shared" si="16"/>
        <v>#DIV/0!</v>
      </c>
      <c r="AQ183" s="39" t="e">
        <f t="shared" si="17"/>
        <v>#DIV/0!</v>
      </c>
    </row>
    <row r="184" spans="1:43" ht="20.100000000000001" customHeight="1" x14ac:dyDescent="0.25">
      <c r="A184" s="8">
        <v>182</v>
      </c>
      <c r="B184" s="48"/>
      <c r="C184" s="48"/>
      <c r="D184" s="48"/>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G184" s="49"/>
      <c r="AH184" s="49"/>
      <c r="AI184" s="49"/>
      <c r="AJ184" s="49"/>
      <c r="AK184" s="49"/>
      <c r="AL184" s="40">
        <f t="shared" si="12"/>
        <v>0</v>
      </c>
      <c r="AM184" s="37">
        <f t="shared" si="13"/>
        <v>0</v>
      </c>
      <c r="AN184" s="37">
        <f t="shared" si="14"/>
        <v>0</v>
      </c>
      <c r="AO184" s="38" t="e">
        <f t="shared" si="15"/>
        <v>#DIV/0!</v>
      </c>
      <c r="AP184" s="38" t="e">
        <f t="shared" si="16"/>
        <v>#DIV/0!</v>
      </c>
      <c r="AQ184" s="39" t="e">
        <f t="shared" si="17"/>
        <v>#DIV/0!</v>
      </c>
    </row>
    <row r="185" spans="1:43" ht="20.100000000000001" customHeight="1" x14ac:dyDescent="0.25">
      <c r="A185" s="8">
        <v>183</v>
      </c>
      <c r="B185" s="48"/>
      <c r="C185" s="48"/>
      <c r="D185" s="48"/>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G185" s="49"/>
      <c r="AH185" s="49"/>
      <c r="AI185" s="49"/>
      <c r="AJ185" s="49"/>
      <c r="AK185" s="49"/>
      <c r="AL185" s="40">
        <f t="shared" si="12"/>
        <v>0</v>
      </c>
      <c r="AM185" s="37">
        <f t="shared" si="13"/>
        <v>0</v>
      </c>
      <c r="AN185" s="37">
        <f t="shared" si="14"/>
        <v>0</v>
      </c>
      <c r="AO185" s="38" t="e">
        <f t="shared" si="15"/>
        <v>#DIV/0!</v>
      </c>
      <c r="AP185" s="38" t="e">
        <f t="shared" si="16"/>
        <v>#DIV/0!</v>
      </c>
      <c r="AQ185" s="39" t="e">
        <f t="shared" si="17"/>
        <v>#DIV/0!</v>
      </c>
    </row>
    <row r="186" spans="1:43" ht="20.100000000000001" customHeight="1" x14ac:dyDescent="0.25">
      <c r="A186" s="8">
        <v>184</v>
      </c>
      <c r="B186" s="48"/>
      <c r="C186" s="48"/>
      <c r="D186" s="48"/>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c r="AK186" s="49"/>
      <c r="AL186" s="40">
        <f t="shared" si="12"/>
        <v>0</v>
      </c>
      <c r="AM186" s="37">
        <f t="shared" si="13"/>
        <v>0</v>
      </c>
      <c r="AN186" s="37">
        <f t="shared" si="14"/>
        <v>0</v>
      </c>
      <c r="AO186" s="38" t="e">
        <f t="shared" si="15"/>
        <v>#DIV/0!</v>
      </c>
      <c r="AP186" s="38" t="e">
        <f t="shared" si="16"/>
        <v>#DIV/0!</v>
      </c>
      <c r="AQ186" s="39" t="e">
        <f t="shared" si="17"/>
        <v>#DIV/0!</v>
      </c>
    </row>
    <row r="187" spans="1:43" ht="20.100000000000001" customHeight="1" x14ac:dyDescent="0.25">
      <c r="A187" s="8">
        <v>185</v>
      </c>
      <c r="B187" s="48"/>
      <c r="C187" s="48"/>
      <c r="D187" s="48"/>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c r="AK187" s="49"/>
      <c r="AL187" s="40">
        <f t="shared" si="12"/>
        <v>0</v>
      </c>
      <c r="AM187" s="37">
        <f t="shared" si="13"/>
        <v>0</v>
      </c>
      <c r="AN187" s="37">
        <f t="shared" si="14"/>
        <v>0</v>
      </c>
      <c r="AO187" s="38" t="e">
        <f t="shared" si="15"/>
        <v>#DIV/0!</v>
      </c>
      <c r="AP187" s="38" t="e">
        <f t="shared" si="16"/>
        <v>#DIV/0!</v>
      </c>
      <c r="AQ187" s="39" t="e">
        <f t="shared" si="17"/>
        <v>#DIV/0!</v>
      </c>
    </row>
    <row r="188" spans="1:43" ht="20.100000000000001" customHeight="1" x14ac:dyDescent="0.25">
      <c r="A188" s="8">
        <v>186</v>
      </c>
      <c r="B188" s="48"/>
      <c r="C188" s="48"/>
      <c r="D188" s="48"/>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c r="AK188" s="49"/>
      <c r="AL188" s="40">
        <f t="shared" si="12"/>
        <v>0</v>
      </c>
      <c r="AM188" s="37">
        <f t="shared" si="13"/>
        <v>0</v>
      </c>
      <c r="AN188" s="37">
        <f t="shared" si="14"/>
        <v>0</v>
      </c>
      <c r="AO188" s="38" t="e">
        <f t="shared" si="15"/>
        <v>#DIV/0!</v>
      </c>
      <c r="AP188" s="38" t="e">
        <f t="shared" si="16"/>
        <v>#DIV/0!</v>
      </c>
      <c r="AQ188" s="39" t="e">
        <f t="shared" si="17"/>
        <v>#DIV/0!</v>
      </c>
    </row>
    <row r="189" spans="1:43" ht="20.100000000000001" customHeight="1" x14ac:dyDescent="0.25">
      <c r="A189" s="8">
        <v>187</v>
      </c>
      <c r="B189" s="48"/>
      <c r="C189" s="48"/>
      <c r="D189" s="48"/>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G189" s="49"/>
      <c r="AH189" s="49"/>
      <c r="AI189" s="49"/>
      <c r="AJ189" s="49"/>
      <c r="AK189" s="49"/>
      <c r="AL189" s="40">
        <f t="shared" si="12"/>
        <v>0</v>
      </c>
      <c r="AM189" s="37">
        <f t="shared" si="13"/>
        <v>0</v>
      </c>
      <c r="AN189" s="37">
        <f t="shared" si="14"/>
        <v>0</v>
      </c>
      <c r="AO189" s="38" t="e">
        <f t="shared" si="15"/>
        <v>#DIV/0!</v>
      </c>
      <c r="AP189" s="38" t="e">
        <f t="shared" si="16"/>
        <v>#DIV/0!</v>
      </c>
      <c r="AQ189" s="39" t="e">
        <f t="shared" si="17"/>
        <v>#DIV/0!</v>
      </c>
    </row>
    <row r="190" spans="1:43" ht="20.100000000000001" customHeight="1" x14ac:dyDescent="0.25">
      <c r="A190" s="8">
        <v>188</v>
      </c>
      <c r="B190" s="48"/>
      <c r="C190" s="48"/>
      <c r="D190" s="48"/>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c r="AC190" s="49"/>
      <c r="AD190" s="49"/>
      <c r="AE190" s="49"/>
      <c r="AF190" s="49"/>
      <c r="AG190" s="49"/>
      <c r="AH190" s="49"/>
      <c r="AI190" s="49"/>
      <c r="AJ190" s="49"/>
      <c r="AK190" s="49"/>
      <c r="AL190" s="40">
        <f t="shared" si="12"/>
        <v>0</v>
      </c>
      <c r="AM190" s="37">
        <f t="shared" si="13"/>
        <v>0</v>
      </c>
      <c r="AN190" s="37">
        <f t="shared" si="14"/>
        <v>0</v>
      </c>
      <c r="AO190" s="38" t="e">
        <f t="shared" si="15"/>
        <v>#DIV/0!</v>
      </c>
      <c r="AP190" s="38" t="e">
        <f t="shared" si="16"/>
        <v>#DIV/0!</v>
      </c>
      <c r="AQ190" s="39" t="e">
        <f t="shared" si="17"/>
        <v>#DIV/0!</v>
      </c>
    </row>
    <row r="191" spans="1:43" ht="20.100000000000001" customHeight="1" x14ac:dyDescent="0.25">
      <c r="A191" s="8">
        <v>189</v>
      </c>
      <c r="B191" s="48"/>
      <c r="C191" s="48"/>
      <c r="D191" s="48"/>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c r="AC191" s="49"/>
      <c r="AD191" s="49"/>
      <c r="AE191" s="49"/>
      <c r="AF191" s="49"/>
      <c r="AG191" s="49"/>
      <c r="AH191" s="49"/>
      <c r="AI191" s="49"/>
      <c r="AJ191" s="49"/>
      <c r="AK191" s="49"/>
      <c r="AL191" s="40">
        <f t="shared" si="12"/>
        <v>0</v>
      </c>
      <c r="AM191" s="37">
        <f t="shared" si="13"/>
        <v>0</v>
      </c>
      <c r="AN191" s="37">
        <f t="shared" si="14"/>
        <v>0</v>
      </c>
      <c r="AO191" s="38" t="e">
        <f t="shared" si="15"/>
        <v>#DIV/0!</v>
      </c>
      <c r="AP191" s="38" t="e">
        <f t="shared" si="16"/>
        <v>#DIV/0!</v>
      </c>
      <c r="AQ191" s="39" t="e">
        <f t="shared" si="17"/>
        <v>#DIV/0!</v>
      </c>
    </row>
    <row r="192" spans="1:43" ht="20.100000000000001" customHeight="1" x14ac:dyDescent="0.25">
      <c r="A192" s="8">
        <v>190</v>
      </c>
      <c r="B192" s="48"/>
      <c r="C192" s="48"/>
      <c r="D192" s="48"/>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c r="AC192" s="49"/>
      <c r="AD192" s="49"/>
      <c r="AE192" s="49"/>
      <c r="AF192" s="49"/>
      <c r="AG192" s="49"/>
      <c r="AH192" s="49"/>
      <c r="AI192" s="49"/>
      <c r="AJ192" s="49"/>
      <c r="AK192" s="49"/>
      <c r="AL192" s="40">
        <f t="shared" si="12"/>
        <v>0</v>
      </c>
      <c r="AM192" s="37">
        <f t="shared" si="13"/>
        <v>0</v>
      </c>
      <c r="AN192" s="37">
        <f t="shared" si="14"/>
        <v>0</v>
      </c>
      <c r="AO192" s="38" t="e">
        <f t="shared" si="15"/>
        <v>#DIV/0!</v>
      </c>
      <c r="AP192" s="38" t="e">
        <f t="shared" si="16"/>
        <v>#DIV/0!</v>
      </c>
      <c r="AQ192" s="39" t="e">
        <f t="shared" si="17"/>
        <v>#DIV/0!</v>
      </c>
    </row>
    <row r="193" spans="1:43" ht="20.100000000000001" customHeight="1" x14ac:dyDescent="0.25">
      <c r="A193" s="8">
        <v>191</v>
      </c>
      <c r="B193" s="48"/>
      <c r="C193" s="48"/>
      <c r="D193" s="48"/>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c r="AC193" s="49"/>
      <c r="AD193" s="49"/>
      <c r="AE193" s="49"/>
      <c r="AF193" s="49"/>
      <c r="AG193" s="49"/>
      <c r="AH193" s="49"/>
      <c r="AI193" s="49"/>
      <c r="AJ193" s="49"/>
      <c r="AK193" s="49"/>
      <c r="AL193" s="40">
        <f t="shared" si="12"/>
        <v>0</v>
      </c>
      <c r="AM193" s="37">
        <f t="shared" si="13"/>
        <v>0</v>
      </c>
      <c r="AN193" s="37">
        <f t="shared" si="14"/>
        <v>0</v>
      </c>
      <c r="AO193" s="38" t="e">
        <f t="shared" si="15"/>
        <v>#DIV/0!</v>
      </c>
      <c r="AP193" s="38" t="e">
        <f t="shared" si="16"/>
        <v>#DIV/0!</v>
      </c>
      <c r="AQ193" s="39" t="e">
        <f t="shared" si="17"/>
        <v>#DIV/0!</v>
      </c>
    </row>
    <row r="194" spans="1:43" ht="20.100000000000001" customHeight="1" x14ac:dyDescent="0.25">
      <c r="A194" s="8">
        <v>192</v>
      </c>
      <c r="B194" s="48"/>
      <c r="C194" s="48"/>
      <c r="D194" s="48"/>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c r="AC194" s="49"/>
      <c r="AD194" s="49"/>
      <c r="AE194" s="49"/>
      <c r="AF194" s="49"/>
      <c r="AG194" s="49"/>
      <c r="AH194" s="49"/>
      <c r="AI194" s="49"/>
      <c r="AJ194" s="49"/>
      <c r="AK194" s="49"/>
      <c r="AL194" s="40">
        <f t="shared" si="12"/>
        <v>0</v>
      </c>
      <c r="AM194" s="37">
        <f t="shared" si="13"/>
        <v>0</v>
      </c>
      <c r="AN194" s="37">
        <f t="shared" si="14"/>
        <v>0</v>
      </c>
      <c r="AO194" s="38" t="e">
        <f t="shared" si="15"/>
        <v>#DIV/0!</v>
      </c>
      <c r="AP194" s="38" t="e">
        <f t="shared" si="16"/>
        <v>#DIV/0!</v>
      </c>
      <c r="AQ194" s="39" t="e">
        <f t="shared" si="17"/>
        <v>#DIV/0!</v>
      </c>
    </row>
    <row r="195" spans="1:43" ht="20.100000000000001" customHeight="1" x14ac:dyDescent="0.25">
      <c r="A195" s="8">
        <v>193</v>
      </c>
      <c r="B195" s="48"/>
      <c r="C195" s="48"/>
      <c r="D195" s="48"/>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c r="AC195" s="49"/>
      <c r="AD195" s="49"/>
      <c r="AE195" s="49"/>
      <c r="AF195" s="49"/>
      <c r="AG195" s="49"/>
      <c r="AH195" s="49"/>
      <c r="AI195" s="49"/>
      <c r="AJ195" s="49"/>
      <c r="AK195" s="49"/>
      <c r="AL195" s="40">
        <f t="shared" ref="AL195:AL258" si="18">COUNTIF($H195:$AK195,1)</f>
        <v>0</v>
      </c>
      <c r="AM195" s="37">
        <f t="shared" ref="AM195:AM258" si="19">COUNTIF($H195:$AK195,0)</f>
        <v>0</v>
      </c>
      <c r="AN195" s="37">
        <f t="shared" si="14"/>
        <v>0</v>
      </c>
      <c r="AO195" s="38" t="e">
        <f t="shared" si="15"/>
        <v>#DIV/0!</v>
      </c>
      <c r="AP195" s="38" t="e">
        <f t="shared" si="16"/>
        <v>#DIV/0!</v>
      </c>
      <c r="AQ195" s="39" t="e">
        <f t="shared" si="17"/>
        <v>#DIV/0!</v>
      </c>
    </row>
    <row r="196" spans="1:43" ht="20.100000000000001" customHeight="1" x14ac:dyDescent="0.25">
      <c r="A196" s="8">
        <v>194</v>
      </c>
      <c r="B196" s="48"/>
      <c r="C196" s="48"/>
      <c r="D196" s="48"/>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c r="AC196" s="49"/>
      <c r="AD196" s="49"/>
      <c r="AE196" s="49"/>
      <c r="AF196" s="49"/>
      <c r="AG196" s="49"/>
      <c r="AH196" s="49"/>
      <c r="AI196" s="49"/>
      <c r="AJ196" s="49"/>
      <c r="AK196" s="49"/>
      <c r="AL196" s="40">
        <f t="shared" si="18"/>
        <v>0</v>
      </c>
      <c r="AM196" s="37">
        <f t="shared" si="19"/>
        <v>0</v>
      </c>
      <c r="AN196" s="37">
        <f t="shared" ref="AN196:AN259" si="20">SUM(AL196:AM196)</f>
        <v>0</v>
      </c>
      <c r="AO196" s="38" t="e">
        <f t="shared" ref="AO196:AO259" si="21">(AL196/AN196)*100</f>
        <v>#DIV/0!</v>
      </c>
      <c r="AP196" s="38" t="e">
        <f t="shared" ref="AP196:AP259" si="22">(AM196/AN196)*100</f>
        <v>#DIV/0!</v>
      </c>
      <c r="AQ196" s="39" t="e">
        <f t="shared" ref="AQ196:AQ259" si="23">SUM(AO196:AP196)</f>
        <v>#DIV/0!</v>
      </c>
    </row>
    <row r="197" spans="1:43" ht="20.100000000000001" customHeight="1" x14ac:dyDescent="0.25">
      <c r="A197" s="8">
        <v>195</v>
      </c>
      <c r="B197" s="48"/>
      <c r="C197" s="48"/>
      <c r="D197" s="48"/>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c r="AC197" s="49"/>
      <c r="AD197" s="49"/>
      <c r="AE197" s="49"/>
      <c r="AF197" s="49"/>
      <c r="AG197" s="49"/>
      <c r="AH197" s="49"/>
      <c r="AI197" s="49"/>
      <c r="AJ197" s="49"/>
      <c r="AK197" s="49"/>
      <c r="AL197" s="40">
        <f t="shared" si="18"/>
        <v>0</v>
      </c>
      <c r="AM197" s="37">
        <f t="shared" si="19"/>
        <v>0</v>
      </c>
      <c r="AN197" s="37">
        <f t="shared" si="20"/>
        <v>0</v>
      </c>
      <c r="AO197" s="38" t="e">
        <f t="shared" si="21"/>
        <v>#DIV/0!</v>
      </c>
      <c r="AP197" s="38" t="e">
        <f t="shared" si="22"/>
        <v>#DIV/0!</v>
      </c>
      <c r="AQ197" s="39" t="e">
        <f t="shared" si="23"/>
        <v>#DIV/0!</v>
      </c>
    </row>
    <row r="198" spans="1:43" ht="20.100000000000001" customHeight="1" x14ac:dyDescent="0.25">
      <c r="A198" s="8">
        <v>196</v>
      </c>
      <c r="B198" s="48"/>
      <c r="C198" s="48"/>
      <c r="D198" s="48"/>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49"/>
      <c r="AF198" s="49"/>
      <c r="AG198" s="49"/>
      <c r="AH198" s="49"/>
      <c r="AI198" s="49"/>
      <c r="AJ198" s="49"/>
      <c r="AK198" s="49"/>
      <c r="AL198" s="40">
        <f t="shared" si="18"/>
        <v>0</v>
      </c>
      <c r="AM198" s="37">
        <f t="shared" si="19"/>
        <v>0</v>
      </c>
      <c r="AN198" s="37">
        <f t="shared" si="20"/>
        <v>0</v>
      </c>
      <c r="AO198" s="38" t="e">
        <f t="shared" si="21"/>
        <v>#DIV/0!</v>
      </c>
      <c r="AP198" s="38" t="e">
        <f t="shared" si="22"/>
        <v>#DIV/0!</v>
      </c>
      <c r="AQ198" s="39" t="e">
        <f t="shared" si="23"/>
        <v>#DIV/0!</v>
      </c>
    </row>
    <row r="199" spans="1:43" ht="20.100000000000001" customHeight="1" x14ac:dyDescent="0.25">
      <c r="A199" s="8">
        <v>197</v>
      </c>
      <c r="B199" s="48"/>
      <c r="C199" s="48"/>
      <c r="D199" s="48"/>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c r="AC199" s="49"/>
      <c r="AD199" s="49"/>
      <c r="AE199" s="49"/>
      <c r="AF199" s="49"/>
      <c r="AG199" s="49"/>
      <c r="AH199" s="49"/>
      <c r="AI199" s="49"/>
      <c r="AJ199" s="49"/>
      <c r="AK199" s="49"/>
      <c r="AL199" s="40">
        <f t="shared" si="18"/>
        <v>0</v>
      </c>
      <c r="AM199" s="37">
        <f t="shared" si="19"/>
        <v>0</v>
      </c>
      <c r="AN199" s="37">
        <f t="shared" si="20"/>
        <v>0</v>
      </c>
      <c r="AO199" s="38" t="e">
        <f t="shared" si="21"/>
        <v>#DIV/0!</v>
      </c>
      <c r="AP199" s="38" t="e">
        <f t="shared" si="22"/>
        <v>#DIV/0!</v>
      </c>
      <c r="AQ199" s="39" t="e">
        <f t="shared" si="23"/>
        <v>#DIV/0!</v>
      </c>
    </row>
    <row r="200" spans="1:43" ht="20.100000000000001" customHeight="1" x14ac:dyDescent="0.25">
      <c r="A200" s="8">
        <v>198</v>
      </c>
      <c r="B200" s="48"/>
      <c r="C200" s="48"/>
      <c r="D200" s="48"/>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c r="AC200" s="49"/>
      <c r="AD200" s="49"/>
      <c r="AE200" s="49"/>
      <c r="AF200" s="49"/>
      <c r="AG200" s="49"/>
      <c r="AH200" s="49"/>
      <c r="AI200" s="49"/>
      <c r="AJ200" s="49"/>
      <c r="AK200" s="49"/>
      <c r="AL200" s="40">
        <f t="shared" si="18"/>
        <v>0</v>
      </c>
      <c r="AM200" s="37">
        <f t="shared" si="19"/>
        <v>0</v>
      </c>
      <c r="AN200" s="37">
        <f t="shared" si="20"/>
        <v>0</v>
      </c>
      <c r="AO200" s="38" t="e">
        <f t="shared" si="21"/>
        <v>#DIV/0!</v>
      </c>
      <c r="AP200" s="38" t="e">
        <f t="shared" si="22"/>
        <v>#DIV/0!</v>
      </c>
      <c r="AQ200" s="39" t="e">
        <f t="shared" si="23"/>
        <v>#DIV/0!</v>
      </c>
    </row>
    <row r="201" spans="1:43" ht="20.100000000000001" customHeight="1" x14ac:dyDescent="0.25">
      <c r="A201" s="8">
        <v>199</v>
      </c>
      <c r="B201" s="48"/>
      <c r="C201" s="48"/>
      <c r="D201" s="48"/>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c r="AC201" s="49"/>
      <c r="AD201" s="49"/>
      <c r="AE201" s="49"/>
      <c r="AF201" s="49"/>
      <c r="AG201" s="49"/>
      <c r="AH201" s="49"/>
      <c r="AI201" s="49"/>
      <c r="AJ201" s="49"/>
      <c r="AK201" s="49"/>
      <c r="AL201" s="40">
        <f t="shared" si="18"/>
        <v>0</v>
      </c>
      <c r="AM201" s="37">
        <f t="shared" si="19"/>
        <v>0</v>
      </c>
      <c r="AN201" s="37">
        <f t="shared" si="20"/>
        <v>0</v>
      </c>
      <c r="AO201" s="38" t="e">
        <f t="shared" si="21"/>
        <v>#DIV/0!</v>
      </c>
      <c r="AP201" s="38" t="e">
        <f t="shared" si="22"/>
        <v>#DIV/0!</v>
      </c>
      <c r="AQ201" s="39" t="e">
        <f t="shared" si="23"/>
        <v>#DIV/0!</v>
      </c>
    </row>
    <row r="202" spans="1:43" ht="20.100000000000001" customHeight="1" x14ac:dyDescent="0.25">
      <c r="A202" s="8">
        <v>200</v>
      </c>
      <c r="B202" s="48"/>
      <c r="C202" s="48"/>
      <c r="D202" s="48"/>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c r="AC202" s="49"/>
      <c r="AD202" s="49"/>
      <c r="AE202" s="49"/>
      <c r="AF202" s="49"/>
      <c r="AG202" s="49"/>
      <c r="AH202" s="49"/>
      <c r="AI202" s="49"/>
      <c r="AJ202" s="49"/>
      <c r="AK202" s="49"/>
      <c r="AL202" s="40">
        <f t="shared" si="18"/>
        <v>0</v>
      </c>
      <c r="AM202" s="37">
        <f t="shared" si="19"/>
        <v>0</v>
      </c>
      <c r="AN202" s="37">
        <f t="shared" si="20"/>
        <v>0</v>
      </c>
      <c r="AO202" s="38" t="e">
        <f t="shared" si="21"/>
        <v>#DIV/0!</v>
      </c>
      <c r="AP202" s="38" t="e">
        <f t="shared" si="22"/>
        <v>#DIV/0!</v>
      </c>
      <c r="AQ202" s="39" t="e">
        <f t="shared" si="23"/>
        <v>#DIV/0!</v>
      </c>
    </row>
    <row r="203" spans="1:43" ht="20.100000000000001" customHeight="1" x14ac:dyDescent="0.25">
      <c r="A203" s="8">
        <v>201</v>
      </c>
      <c r="B203" s="48"/>
      <c r="C203" s="48"/>
      <c r="D203" s="48"/>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c r="AC203" s="49"/>
      <c r="AD203" s="49"/>
      <c r="AE203" s="49"/>
      <c r="AF203" s="49"/>
      <c r="AG203" s="49"/>
      <c r="AH203" s="49"/>
      <c r="AI203" s="49"/>
      <c r="AJ203" s="49"/>
      <c r="AK203" s="49"/>
      <c r="AL203" s="40">
        <f t="shared" si="18"/>
        <v>0</v>
      </c>
      <c r="AM203" s="37">
        <f t="shared" si="19"/>
        <v>0</v>
      </c>
      <c r="AN203" s="37">
        <f t="shared" si="20"/>
        <v>0</v>
      </c>
      <c r="AO203" s="38" t="e">
        <f t="shared" si="21"/>
        <v>#DIV/0!</v>
      </c>
      <c r="AP203" s="38" t="e">
        <f t="shared" si="22"/>
        <v>#DIV/0!</v>
      </c>
      <c r="AQ203" s="39" t="e">
        <f t="shared" si="23"/>
        <v>#DIV/0!</v>
      </c>
    </row>
    <row r="204" spans="1:43" ht="20.100000000000001" customHeight="1" x14ac:dyDescent="0.25">
      <c r="A204" s="8">
        <v>202</v>
      </c>
      <c r="B204" s="48"/>
      <c r="C204" s="48"/>
      <c r="D204" s="48"/>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c r="AC204" s="49"/>
      <c r="AD204" s="49"/>
      <c r="AE204" s="49"/>
      <c r="AF204" s="49"/>
      <c r="AG204" s="49"/>
      <c r="AH204" s="49"/>
      <c r="AI204" s="49"/>
      <c r="AJ204" s="49"/>
      <c r="AK204" s="49"/>
      <c r="AL204" s="40">
        <f t="shared" si="18"/>
        <v>0</v>
      </c>
      <c r="AM204" s="37">
        <f t="shared" si="19"/>
        <v>0</v>
      </c>
      <c r="AN204" s="37">
        <f t="shared" si="20"/>
        <v>0</v>
      </c>
      <c r="AO204" s="38" t="e">
        <f t="shared" si="21"/>
        <v>#DIV/0!</v>
      </c>
      <c r="AP204" s="38" t="e">
        <f t="shared" si="22"/>
        <v>#DIV/0!</v>
      </c>
      <c r="AQ204" s="39" t="e">
        <f t="shared" si="23"/>
        <v>#DIV/0!</v>
      </c>
    </row>
    <row r="205" spans="1:43" ht="20.100000000000001" customHeight="1" x14ac:dyDescent="0.25">
      <c r="A205" s="8">
        <v>203</v>
      </c>
      <c r="B205" s="48"/>
      <c r="C205" s="48"/>
      <c r="D205" s="48"/>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c r="AC205" s="49"/>
      <c r="AD205" s="49"/>
      <c r="AE205" s="49"/>
      <c r="AF205" s="49"/>
      <c r="AG205" s="49"/>
      <c r="AH205" s="49"/>
      <c r="AI205" s="49"/>
      <c r="AJ205" s="49"/>
      <c r="AK205" s="49"/>
      <c r="AL205" s="40">
        <f t="shared" si="18"/>
        <v>0</v>
      </c>
      <c r="AM205" s="37">
        <f t="shared" si="19"/>
        <v>0</v>
      </c>
      <c r="AN205" s="37">
        <f t="shared" si="20"/>
        <v>0</v>
      </c>
      <c r="AO205" s="38" t="e">
        <f t="shared" si="21"/>
        <v>#DIV/0!</v>
      </c>
      <c r="AP205" s="38" t="e">
        <f t="shared" si="22"/>
        <v>#DIV/0!</v>
      </c>
      <c r="AQ205" s="39" t="e">
        <f t="shared" si="23"/>
        <v>#DIV/0!</v>
      </c>
    </row>
    <row r="206" spans="1:43" ht="20.100000000000001" customHeight="1" x14ac:dyDescent="0.25">
      <c r="A206" s="8">
        <v>204</v>
      </c>
      <c r="B206" s="48"/>
      <c r="C206" s="48"/>
      <c r="D206" s="48"/>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c r="AC206" s="49"/>
      <c r="AD206" s="49"/>
      <c r="AE206" s="49"/>
      <c r="AF206" s="49"/>
      <c r="AG206" s="49"/>
      <c r="AH206" s="49"/>
      <c r="AI206" s="49"/>
      <c r="AJ206" s="49"/>
      <c r="AK206" s="49"/>
      <c r="AL206" s="40">
        <f t="shared" si="18"/>
        <v>0</v>
      </c>
      <c r="AM206" s="37">
        <f t="shared" si="19"/>
        <v>0</v>
      </c>
      <c r="AN206" s="37">
        <f t="shared" si="20"/>
        <v>0</v>
      </c>
      <c r="AO206" s="38" t="e">
        <f t="shared" si="21"/>
        <v>#DIV/0!</v>
      </c>
      <c r="AP206" s="38" t="e">
        <f t="shared" si="22"/>
        <v>#DIV/0!</v>
      </c>
      <c r="AQ206" s="39" t="e">
        <f t="shared" si="23"/>
        <v>#DIV/0!</v>
      </c>
    </row>
    <row r="207" spans="1:43" ht="20.100000000000001" customHeight="1" x14ac:dyDescent="0.25">
      <c r="A207" s="8">
        <v>205</v>
      </c>
      <c r="B207" s="48"/>
      <c r="C207" s="48"/>
      <c r="D207" s="48"/>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c r="AC207" s="49"/>
      <c r="AD207" s="49"/>
      <c r="AE207" s="49"/>
      <c r="AF207" s="49"/>
      <c r="AG207" s="49"/>
      <c r="AH207" s="49"/>
      <c r="AI207" s="49"/>
      <c r="AJ207" s="49"/>
      <c r="AK207" s="49"/>
      <c r="AL207" s="40">
        <f t="shared" si="18"/>
        <v>0</v>
      </c>
      <c r="AM207" s="37">
        <f t="shared" si="19"/>
        <v>0</v>
      </c>
      <c r="AN207" s="37">
        <f t="shared" si="20"/>
        <v>0</v>
      </c>
      <c r="AO207" s="38" t="e">
        <f t="shared" si="21"/>
        <v>#DIV/0!</v>
      </c>
      <c r="AP207" s="38" t="e">
        <f t="shared" si="22"/>
        <v>#DIV/0!</v>
      </c>
      <c r="AQ207" s="39" t="e">
        <f t="shared" si="23"/>
        <v>#DIV/0!</v>
      </c>
    </row>
    <row r="208" spans="1:43" ht="20.100000000000001" customHeight="1" x14ac:dyDescent="0.25">
      <c r="A208" s="8">
        <v>206</v>
      </c>
      <c r="B208" s="48"/>
      <c r="C208" s="48"/>
      <c r="D208" s="48"/>
      <c r="E208" s="49"/>
      <c r="F208" s="49"/>
      <c r="G208" s="49"/>
      <c r="H208" s="49"/>
      <c r="I208" s="49"/>
      <c r="J208" s="49"/>
      <c r="K208" s="49"/>
      <c r="L208" s="49"/>
      <c r="M208" s="49"/>
      <c r="N208" s="49"/>
      <c r="O208" s="49"/>
      <c r="P208" s="49"/>
      <c r="Q208" s="49"/>
      <c r="R208" s="49"/>
      <c r="S208" s="49"/>
      <c r="T208" s="49"/>
      <c r="U208" s="49"/>
      <c r="V208" s="49"/>
      <c r="W208" s="49"/>
      <c r="X208" s="49"/>
      <c r="Y208" s="49"/>
      <c r="Z208" s="49"/>
      <c r="AA208" s="49"/>
      <c r="AB208" s="49"/>
      <c r="AC208" s="49"/>
      <c r="AD208" s="49"/>
      <c r="AE208" s="49"/>
      <c r="AF208" s="49"/>
      <c r="AG208" s="49"/>
      <c r="AH208" s="49"/>
      <c r="AI208" s="49"/>
      <c r="AJ208" s="49"/>
      <c r="AK208" s="49"/>
      <c r="AL208" s="40">
        <f t="shared" si="18"/>
        <v>0</v>
      </c>
      <c r="AM208" s="37">
        <f t="shared" si="19"/>
        <v>0</v>
      </c>
      <c r="AN208" s="37">
        <f t="shared" si="20"/>
        <v>0</v>
      </c>
      <c r="AO208" s="38" t="e">
        <f t="shared" si="21"/>
        <v>#DIV/0!</v>
      </c>
      <c r="AP208" s="38" t="e">
        <f t="shared" si="22"/>
        <v>#DIV/0!</v>
      </c>
      <c r="AQ208" s="39" t="e">
        <f t="shared" si="23"/>
        <v>#DIV/0!</v>
      </c>
    </row>
    <row r="209" spans="1:43" ht="20.100000000000001" customHeight="1" x14ac:dyDescent="0.25">
      <c r="A209" s="8">
        <v>207</v>
      </c>
      <c r="B209" s="48"/>
      <c r="C209" s="48"/>
      <c r="D209" s="48"/>
      <c r="E209" s="49"/>
      <c r="F209" s="49"/>
      <c r="G209" s="49"/>
      <c r="H209" s="49"/>
      <c r="I209" s="49"/>
      <c r="J209" s="49"/>
      <c r="K209" s="49"/>
      <c r="L209" s="49"/>
      <c r="M209" s="49"/>
      <c r="N209" s="49"/>
      <c r="O209" s="49"/>
      <c r="P209" s="49"/>
      <c r="Q209" s="49"/>
      <c r="R209" s="49"/>
      <c r="S209" s="49"/>
      <c r="T209" s="49"/>
      <c r="U209" s="49"/>
      <c r="V209" s="49"/>
      <c r="W209" s="49"/>
      <c r="X209" s="49"/>
      <c r="Y209" s="49"/>
      <c r="Z209" s="49"/>
      <c r="AA209" s="49"/>
      <c r="AB209" s="49"/>
      <c r="AC209" s="49"/>
      <c r="AD209" s="49"/>
      <c r="AE209" s="49"/>
      <c r="AF209" s="49"/>
      <c r="AG209" s="49"/>
      <c r="AH209" s="49"/>
      <c r="AI209" s="49"/>
      <c r="AJ209" s="49"/>
      <c r="AK209" s="49"/>
      <c r="AL209" s="40">
        <f t="shared" si="18"/>
        <v>0</v>
      </c>
      <c r="AM209" s="37">
        <f t="shared" si="19"/>
        <v>0</v>
      </c>
      <c r="AN209" s="37">
        <f t="shared" si="20"/>
        <v>0</v>
      </c>
      <c r="AO209" s="38" t="e">
        <f t="shared" si="21"/>
        <v>#DIV/0!</v>
      </c>
      <c r="AP209" s="38" t="e">
        <f t="shared" si="22"/>
        <v>#DIV/0!</v>
      </c>
      <c r="AQ209" s="39" t="e">
        <f t="shared" si="23"/>
        <v>#DIV/0!</v>
      </c>
    </row>
    <row r="210" spans="1:43" ht="20.100000000000001" customHeight="1" x14ac:dyDescent="0.25">
      <c r="A210" s="8">
        <v>208</v>
      </c>
      <c r="B210" s="48"/>
      <c r="C210" s="48"/>
      <c r="D210" s="48"/>
      <c r="E210" s="49"/>
      <c r="F210" s="49"/>
      <c r="G210" s="49"/>
      <c r="H210" s="49"/>
      <c r="I210" s="49"/>
      <c r="J210" s="49"/>
      <c r="K210" s="49"/>
      <c r="L210" s="49"/>
      <c r="M210" s="49"/>
      <c r="N210" s="49"/>
      <c r="O210" s="49"/>
      <c r="P210" s="49"/>
      <c r="Q210" s="49"/>
      <c r="R210" s="49"/>
      <c r="S210" s="49"/>
      <c r="T210" s="49"/>
      <c r="U210" s="49"/>
      <c r="V210" s="49"/>
      <c r="W210" s="49"/>
      <c r="X210" s="49"/>
      <c r="Y210" s="49"/>
      <c r="Z210" s="49"/>
      <c r="AA210" s="49"/>
      <c r="AB210" s="49"/>
      <c r="AC210" s="49"/>
      <c r="AD210" s="49"/>
      <c r="AE210" s="49"/>
      <c r="AF210" s="49"/>
      <c r="AG210" s="49"/>
      <c r="AH210" s="49"/>
      <c r="AI210" s="49"/>
      <c r="AJ210" s="49"/>
      <c r="AK210" s="49"/>
      <c r="AL210" s="40">
        <f t="shared" si="18"/>
        <v>0</v>
      </c>
      <c r="AM210" s="37">
        <f t="shared" si="19"/>
        <v>0</v>
      </c>
      <c r="AN210" s="37">
        <f t="shared" si="20"/>
        <v>0</v>
      </c>
      <c r="AO210" s="38" t="e">
        <f t="shared" si="21"/>
        <v>#DIV/0!</v>
      </c>
      <c r="AP210" s="38" t="e">
        <f t="shared" si="22"/>
        <v>#DIV/0!</v>
      </c>
      <c r="AQ210" s="39" t="e">
        <f t="shared" si="23"/>
        <v>#DIV/0!</v>
      </c>
    </row>
    <row r="211" spans="1:43" ht="20.100000000000001" customHeight="1" x14ac:dyDescent="0.25">
      <c r="A211" s="8">
        <v>209</v>
      </c>
      <c r="B211" s="48"/>
      <c r="C211" s="48"/>
      <c r="D211" s="48"/>
      <c r="E211" s="49"/>
      <c r="F211" s="49"/>
      <c r="G211" s="49"/>
      <c r="H211" s="49"/>
      <c r="I211" s="49"/>
      <c r="J211" s="49"/>
      <c r="K211" s="49"/>
      <c r="L211" s="49"/>
      <c r="M211" s="49"/>
      <c r="N211" s="49"/>
      <c r="O211" s="49"/>
      <c r="P211" s="49"/>
      <c r="Q211" s="49"/>
      <c r="R211" s="49"/>
      <c r="S211" s="49"/>
      <c r="T211" s="49"/>
      <c r="U211" s="49"/>
      <c r="V211" s="49"/>
      <c r="W211" s="49"/>
      <c r="X211" s="49"/>
      <c r="Y211" s="49"/>
      <c r="Z211" s="49"/>
      <c r="AA211" s="49"/>
      <c r="AB211" s="49"/>
      <c r="AC211" s="49"/>
      <c r="AD211" s="49"/>
      <c r="AE211" s="49"/>
      <c r="AF211" s="49"/>
      <c r="AG211" s="49"/>
      <c r="AH211" s="49"/>
      <c r="AI211" s="49"/>
      <c r="AJ211" s="49"/>
      <c r="AK211" s="49"/>
      <c r="AL211" s="40">
        <f t="shared" si="18"/>
        <v>0</v>
      </c>
      <c r="AM211" s="37">
        <f t="shared" si="19"/>
        <v>0</v>
      </c>
      <c r="AN211" s="37">
        <f t="shared" si="20"/>
        <v>0</v>
      </c>
      <c r="AO211" s="38" t="e">
        <f t="shared" si="21"/>
        <v>#DIV/0!</v>
      </c>
      <c r="AP211" s="38" t="e">
        <f t="shared" si="22"/>
        <v>#DIV/0!</v>
      </c>
      <c r="AQ211" s="39" t="e">
        <f t="shared" si="23"/>
        <v>#DIV/0!</v>
      </c>
    </row>
    <row r="212" spans="1:43" ht="20.100000000000001" customHeight="1" x14ac:dyDescent="0.25">
      <c r="A212" s="8">
        <v>210</v>
      </c>
      <c r="B212" s="48"/>
      <c r="C212" s="48"/>
      <c r="D212" s="48"/>
      <c r="E212" s="49"/>
      <c r="F212" s="49"/>
      <c r="G212" s="49"/>
      <c r="H212" s="49"/>
      <c r="I212" s="49"/>
      <c r="J212" s="49"/>
      <c r="K212" s="49"/>
      <c r="L212" s="49"/>
      <c r="M212" s="49"/>
      <c r="N212" s="49"/>
      <c r="O212" s="49"/>
      <c r="P212" s="49"/>
      <c r="Q212" s="49"/>
      <c r="R212" s="49"/>
      <c r="S212" s="49"/>
      <c r="T212" s="49"/>
      <c r="U212" s="49"/>
      <c r="V212" s="49"/>
      <c r="W212" s="49"/>
      <c r="X212" s="49"/>
      <c r="Y212" s="49"/>
      <c r="Z212" s="49"/>
      <c r="AA212" s="49"/>
      <c r="AB212" s="49"/>
      <c r="AC212" s="49"/>
      <c r="AD212" s="49"/>
      <c r="AE212" s="49"/>
      <c r="AF212" s="49"/>
      <c r="AG212" s="49"/>
      <c r="AH212" s="49"/>
      <c r="AI212" s="49"/>
      <c r="AJ212" s="49"/>
      <c r="AK212" s="49"/>
      <c r="AL212" s="40">
        <f t="shared" si="18"/>
        <v>0</v>
      </c>
      <c r="AM212" s="37">
        <f t="shared" si="19"/>
        <v>0</v>
      </c>
      <c r="AN212" s="37">
        <f t="shared" si="20"/>
        <v>0</v>
      </c>
      <c r="AO212" s="38" t="e">
        <f t="shared" si="21"/>
        <v>#DIV/0!</v>
      </c>
      <c r="AP212" s="38" t="e">
        <f t="shared" si="22"/>
        <v>#DIV/0!</v>
      </c>
      <c r="AQ212" s="39" t="e">
        <f t="shared" si="23"/>
        <v>#DIV/0!</v>
      </c>
    </row>
    <row r="213" spans="1:43" ht="20.100000000000001" customHeight="1" x14ac:dyDescent="0.25">
      <c r="A213" s="8">
        <v>211</v>
      </c>
      <c r="B213" s="48"/>
      <c r="C213" s="48"/>
      <c r="D213" s="48"/>
      <c r="E213" s="49"/>
      <c r="F213" s="49"/>
      <c r="G213" s="49"/>
      <c r="H213" s="49"/>
      <c r="I213" s="49"/>
      <c r="J213" s="49"/>
      <c r="K213" s="49"/>
      <c r="L213" s="49"/>
      <c r="M213" s="49"/>
      <c r="N213" s="49"/>
      <c r="O213" s="49"/>
      <c r="P213" s="49"/>
      <c r="Q213" s="49"/>
      <c r="R213" s="49"/>
      <c r="S213" s="49"/>
      <c r="T213" s="49"/>
      <c r="U213" s="49"/>
      <c r="V213" s="49"/>
      <c r="W213" s="49"/>
      <c r="X213" s="49"/>
      <c r="Y213" s="49"/>
      <c r="Z213" s="49"/>
      <c r="AA213" s="49"/>
      <c r="AB213" s="49"/>
      <c r="AC213" s="49"/>
      <c r="AD213" s="49"/>
      <c r="AE213" s="49"/>
      <c r="AF213" s="49"/>
      <c r="AG213" s="49"/>
      <c r="AH213" s="49"/>
      <c r="AI213" s="49"/>
      <c r="AJ213" s="49"/>
      <c r="AK213" s="49"/>
      <c r="AL213" s="40">
        <f t="shared" si="18"/>
        <v>0</v>
      </c>
      <c r="AM213" s="37">
        <f t="shared" si="19"/>
        <v>0</v>
      </c>
      <c r="AN213" s="37">
        <f t="shared" si="20"/>
        <v>0</v>
      </c>
      <c r="AO213" s="38" t="e">
        <f t="shared" si="21"/>
        <v>#DIV/0!</v>
      </c>
      <c r="AP213" s="38" t="e">
        <f t="shared" si="22"/>
        <v>#DIV/0!</v>
      </c>
      <c r="AQ213" s="39" t="e">
        <f t="shared" si="23"/>
        <v>#DIV/0!</v>
      </c>
    </row>
    <row r="214" spans="1:43" ht="20.100000000000001" customHeight="1" x14ac:dyDescent="0.25">
      <c r="A214" s="8">
        <v>212</v>
      </c>
      <c r="B214" s="48"/>
      <c r="C214" s="48"/>
      <c r="D214" s="48"/>
      <c r="E214" s="49"/>
      <c r="F214" s="49"/>
      <c r="G214" s="49"/>
      <c r="H214" s="49"/>
      <c r="I214" s="49"/>
      <c r="J214" s="49"/>
      <c r="K214" s="49"/>
      <c r="L214" s="49"/>
      <c r="M214" s="49"/>
      <c r="N214" s="49"/>
      <c r="O214" s="49"/>
      <c r="P214" s="49"/>
      <c r="Q214" s="49"/>
      <c r="R214" s="49"/>
      <c r="S214" s="49"/>
      <c r="T214" s="49"/>
      <c r="U214" s="49"/>
      <c r="V214" s="49"/>
      <c r="W214" s="49"/>
      <c r="X214" s="49"/>
      <c r="Y214" s="49"/>
      <c r="Z214" s="49"/>
      <c r="AA214" s="49"/>
      <c r="AB214" s="49"/>
      <c r="AC214" s="49"/>
      <c r="AD214" s="49"/>
      <c r="AE214" s="49"/>
      <c r="AF214" s="49"/>
      <c r="AG214" s="49"/>
      <c r="AH214" s="49"/>
      <c r="AI214" s="49"/>
      <c r="AJ214" s="49"/>
      <c r="AK214" s="49"/>
      <c r="AL214" s="40">
        <f t="shared" si="18"/>
        <v>0</v>
      </c>
      <c r="AM214" s="37">
        <f t="shared" si="19"/>
        <v>0</v>
      </c>
      <c r="AN214" s="37">
        <f t="shared" si="20"/>
        <v>0</v>
      </c>
      <c r="AO214" s="38" t="e">
        <f t="shared" si="21"/>
        <v>#DIV/0!</v>
      </c>
      <c r="AP214" s="38" t="e">
        <f t="shared" si="22"/>
        <v>#DIV/0!</v>
      </c>
      <c r="AQ214" s="39" t="e">
        <f t="shared" si="23"/>
        <v>#DIV/0!</v>
      </c>
    </row>
    <row r="215" spans="1:43" ht="20.100000000000001" customHeight="1" x14ac:dyDescent="0.25">
      <c r="A215" s="8">
        <v>213</v>
      </c>
      <c r="B215" s="48"/>
      <c r="C215" s="48"/>
      <c r="D215" s="48"/>
      <c r="E215" s="49"/>
      <c r="F215" s="49"/>
      <c r="G215" s="49"/>
      <c r="H215" s="49"/>
      <c r="I215" s="49"/>
      <c r="J215" s="49"/>
      <c r="K215" s="49"/>
      <c r="L215" s="49"/>
      <c r="M215" s="49"/>
      <c r="N215" s="49"/>
      <c r="O215" s="49"/>
      <c r="P215" s="49"/>
      <c r="Q215" s="49"/>
      <c r="R215" s="49"/>
      <c r="S215" s="49"/>
      <c r="T215" s="49"/>
      <c r="U215" s="49"/>
      <c r="V215" s="49"/>
      <c r="W215" s="49"/>
      <c r="X215" s="49"/>
      <c r="Y215" s="49"/>
      <c r="Z215" s="49"/>
      <c r="AA215" s="49"/>
      <c r="AB215" s="49"/>
      <c r="AC215" s="49"/>
      <c r="AD215" s="49"/>
      <c r="AE215" s="49"/>
      <c r="AF215" s="49"/>
      <c r="AG215" s="49"/>
      <c r="AH215" s="49"/>
      <c r="AI215" s="49"/>
      <c r="AJ215" s="49"/>
      <c r="AK215" s="49"/>
      <c r="AL215" s="40">
        <f t="shared" si="18"/>
        <v>0</v>
      </c>
      <c r="AM215" s="37">
        <f t="shared" si="19"/>
        <v>0</v>
      </c>
      <c r="AN215" s="37">
        <f t="shared" si="20"/>
        <v>0</v>
      </c>
      <c r="AO215" s="38" t="e">
        <f t="shared" si="21"/>
        <v>#DIV/0!</v>
      </c>
      <c r="AP215" s="38" t="e">
        <f t="shared" si="22"/>
        <v>#DIV/0!</v>
      </c>
      <c r="AQ215" s="39" t="e">
        <f t="shared" si="23"/>
        <v>#DIV/0!</v>
      </c>
    </row>
    <row r="216" spans="1:43" ht="20.100000000000001" customHeight="1" x14ac:dyDescent="0.25">
      <c r="A216" s="8">
        <v>214</v>
      </c>
      <c r="B216" s="48"/>
      <c r="C216" s="48"/>
      <c r="D216" s="48"/>
      <c r="E216" s="49"/>
      <c r="F216" s="49"/>
      <c r="G216" s="49"/>
      <c r="H216" s="49"/>
      <c r="I216" s="49"/>
      <c r="J216" s="49"/>
      <c r="K216" s="49"/>
      <c r="L216" s="49"/>
      <c r="M216" s="49"/>
      <c r="N216" s="49"/>
      <c r="O216" s="49"/>
      <c r="P216" s="49"/>
      <c r="Q216" s="49"/>
      <c r="R216" s="49"/>
      <c r="S216" s="49"/>
      <c r="T216" s="49"/>
      <c r="U216" s="49"/>
      <c r="V216" s="49"/>
      <c r="W216" s="49"/>
      <c r="X216" s="49"/>
      <c r="Y216" s="49"/>
      <c r="Z216" s="49"/>
      <c r="AA216" s="49"/>
      <c r="AB216" s="49"/>
      <c r="AC216" s="49"/>
      <c r="AD216" s="49"/>
      <c r="AE216" s="49"/>
      <c r="AF216" s="49"/>
      <c r="AG216" s="49"/>
      <c r="AH216" s="49"/>
      <c r="AI216" s="49"/>
      <c r="AJ216" s="49"/>
      <c r="AK216" s="49"/>
      <c r="AL216" s="40">
        <f t="shared" si="18"/>
        <v>0</v>
      </c>
      <c r="AM216" s="37">
        <f t="shared" si="19"/>
        <v>0</v>
      </c>
      <c r="AN216" s="37">
        <f t="shared" si="20"/>
        <v>0</v>
      </c>
      <c r="AO216" s="38" t="e">
        <f t="shared" si="21"/>
        <v>#DIV/0!</v>
      </c>
      <c r="AP216" s="38" t="e">
        <f t="shared" si="22"/>
        <v>#DIV/0!</v>
      </c>
      <c r="AQ216" s="39" t="e">
        <f t="shared" si="23"/>
        <v>#DIV/0!</v>
      </c>
    </row>
    <row r="217" spans="1:43" ht="20.100000000000001" customHeight="1" x14ac:dyDescent="0.25">
      <c r="A217" s="8">
        <v>215</v>
      </c>
      <c r="B217" s="48"/>
      <c r="C217" s="48"/>
      <c r="D217" s="48"/>
      <c r="E217" s="49"/>
      <c r="F217" s="49"/>
      <c r="G217" s="49"/>
      <c r="H217" s="49"/>
      <c r="I217" s="49"/>
      <c r="J217" s="49"/>
      <c r="K217" s="49"/>
      <c r="L217" s="49"/>
      <c r="M217" s="49"/>
      <c r="N217" s="49"/>
      <c r="O217" s="49"/>
      <c r="P217" s="49"/>
      <c r="Q217" s="49"/>
      <c r="R217" s="49"/>
      <c r="S217" s="49"/>
      <c r="T217" s="49"/>
      <c r="U217" s="49"/>
      <c r="V217" s="49"/>
      <c r="W217" s="49"/>
      <c r="X217" s="49"/>
      <c r="Y217" s="49"/>
      <c r="Z217" s="49"/>
      <c r="AA217" s="49"/>
      <c r="AB217" s="49"/>
      <c r="AC217" s="49"/>
      <c r="AD217" s="49"/>
      <c r="AE217" s="49"/>
      <c r="AF217" s="49"/>
      <c r="AG217" s="49"/>
      <c r="AH217" s="49"/>
      <c r="AI217" s="49"/>
      <c r="AJ217" s="49"/>
      <c r="AK217" s="49"/>
      <c r="AL217" s="40">
        <f t="shared" si="18"/>
        <v>0</v>
      </c>
      <c r="AM217" s="37">
        <f t="shared" si="19"/>
        <v>0</v>
      </c>
      <c r="AN217" s="37">
        <f t="shared" si="20"/>
        <v>0</v>
      </c>
      <c r="AO217" s="38" t="e">
        <f t="shared" si="21"/>
        <v>#DIV/0!</v>
      </c>
      <c r="AP217" s="38" t="e">
        <f t="shared" si="22"/>
        <v>#DIV/0!</v>
      </c>
      <c r="AQ217" s="39" t="e">
        <f t="shared" si="23"/>
        <v>#DIV/0!</v>
      </c>
    </row>
    <row r="218" spans="1:43" ht="20.100000000000001" customHeight="1" x14ac:dyDescent="0.25">
      <c r="A218" s="8">
        <v>216</v>
      </c>
      <c r="B218" s="48"/>
      <c r="C218" s="48"/>
      <c r="D218" s="48"/>
      <c r="E218" s="49"/>
      <c r="F218" s="49"/>
      <c r="G218" s="49"/>
      <c r="H218" s="49"/>
      <c r="I218" s="49"/>
      <c r="J218" s="49"/>
      <c r="K218" s="49"/>
      <c r="L218" s="49"/>
      <c r="M218" s="49"/>
      <c r="N218" s="49"/>
      <c r="O218" s="49"/>
      <c r="P218" s="49"/>
      <c r="Q218" s="49"/>
      <c r="R218" s="49"/>
      <c r="S218" s="49"/>
      <c r="T218" s="49"/>
      <c r="U218" s="49"/>
      <c r="V218" s="49"/>
      <c r="W218" s="49"/>
      <c r="X218" s="49"/>
      <c r="Y218" s="49"/>
      <c r="Z218" s="49"/>
      <c r="AA218" s="49"/>
      <c r="AB218" s="49"/>
      <c r="AC218" s="49"/>
      <c r="AD218" s="49"/>
      <c r="AE218" s="49"/>
      <c r="AF218" s="49"/>
      <c r="AG218" s="49"/>
      <c r="AH218" s="49"/>
      <c r="AI218" s="49"/>
      <c r="AJ218" s="49"/>
      <c r="AK218" s="49"/>
      <c r="AL218" s="40">
        <f t="shared" si="18"/>
        <v>0</v>
      </c>
      <c r="AM218" s="37">
        <f t="shared" si="19"/>
        <v>0</v>
      </c>
      <c r="AN218" s="37">
        <f t="shared" si="20"/>
        <v>0</v>
      </c>
      <c r="AO218" s="38" t="e">
        <f t="shared" si="21"/>
        <v>#DIV/0!</v>
      </c>
      <c r="AP218" s="38" t="e">
        <f t="shared" si="22"/>
        <v>#DIV/0!</v>
      </c>
      <c r="AQ218" s="39" t="e">
        <f t="shared" si="23"/>
        <v>#DIV/0!</v>
      </c>
    </row>
    <row r="219" spans="1:43" ht="20.100000000000001" customHeight="1" x14ac:dyDescent="0.25">
      <c r="A219" s="8">
        <v>217</v>
      </c>
      <c r="B219" s="48"/>
      <c r="C219" s="48"/>
      <c r="D219" s="48"/>
      <c r="E219" s="49"/>
      <c r="F219" s="49"/>
      <c r="G219" s="49"/>
      <c r="H219" s="49"/>
      <c r="I219" s="49"/>
      <c r="J219" s="49"/>
      <c r="K219" s="49"/>
      <c r="L219" s="49"/>
      <c r="M219" s="49"/>
      <c r="N219" s="49"/>
      <c r="O219" s="49"/>
      <c r="P219" s="49"/>
      <c r="Q219" s="49"/>
      <c r="R219" s="49"/>
      <c r="S219" s="49"/>
      <c r="T219" s="49"/>
      <c r="U219" s="49"/>
      <c r="V219" s="49"/>
      <c r="W219" s="49"/>
      <c r="X219" s="49"/>
      <c r="Y219" s="49"/>
      <c r="Z219" s="49"/>
      <c r="AA219" s="49"/>
      <c r="AB219" s="49"/>
      <c r="AC219" s="49"/>
      <c r="AD219" s="49"/>
      <c r="AE219" s="49"/>
      <c r="AF219" s="49"/>
      <c r="AG219" s="49"/>
      <c r="AH219" s="49"/>
      <c r="AI219" s="49"/>
      <c r="AJ219" s="49"/>
      <c r="AK219" s="49"/>
      <c r="AL219" s="40">
        <f t="shared" si="18"/>
        <v>0</v>
      </c>
      <c r="AM219" s="37">
        <f t="shared" si="19"/>
        <v>0</v>
      </c>
      <c r="AN219" s="37">
        <f t="shared" si="20"/>
        <v>0</v>
      </c>
      <c r="AO219" s="38" t="e">
        <f t="shared" si="21"/>
        <v>#DIV/0!</v>
      </c>
      <c r="AP219" s="38" t="e">
        <f t="shared" si="22"/>
        <v>#DIV/0!</v>
      </c>
      <c r="AQ219" s="39" t="e">
        <f t="shared" si="23"/>
        <v>#DIV/0!</v>
      </c>
    </row>
    <row r="220" spans="1:43" ht="20.100000000000001" customHeight="1" x14ac:dyDescent="0.25">
      <c r="A220" s="8">
        <v>218</v>
      </c>
      <c r="B220" s="48"/>
      <c r="C220" s="48"/>
      <c r="D220" s="48"/>
      <c r="E220" s="49"/>
      <c r="F220" s="49"/>
      <c r="G220" s="49"/>
      <c r="H220" s="49"/>
      <c r="I220" s="49"/>
      <c r="J220" s="49"/>
      <c r="K220" s="49"/>
      <c r="L220" s="49"/>
      <c r="M220" s="49"/>
      <c r="N220" s="49"/>
      <c r="O220" s="49"/>
      <c r="P220" s="49"/>
      <c r="Q220" s="49"/>
      <c r="R220" s="49"/>
      <c r="S220" s="49"/>
      <c r="T220" s="49"/>
      <c r="U220" s="49"/>
      <c r="V220" s="49"/>
      <c r="W220" s="49"/>
      <c r="X220" s="49"/>
      <c r="Y220" s="49"/>
      <c r="Z220" s="49"/>
      <c r="AA220" s="49"/>
      <c r="AB220" s="49"/>
      <c r="AC220" s="49"/>
      <c r="AD220" s="49"/>
      <c r="AE220" s="49"/>
      <c r="AF220" s="49"/>
      <c r="AG220" s="49"/>
      <c r="AH220" s="49"/>
      <c r="AI220" s="49"/>
      <c r="AJ220" s="49"/>
      <c r="AK220" s="49"/>
      <c r="AL220" s="40">
        <f t="shared" si="18"/>
        <v>0</v>
      </c>
      <c r="AM220" s="37">
        <f t="shared" si="19"/>
        <v>0</v>
      </c>
      <c r="AN220" s="37">
        <f t="shared" si="20"/>
        <v>0</v>
      </c>
      <c r="AO220" s="38" t="e">
        <f t="shared" si="21"/>
        <v>#DIV/0!</v>
      </c>
      <c r="AP220" s="38" t="e">
        <f t="shared" si="22"/>
        <v>#DIV/0!</v>
      </c>
      <c r="AQ220" s="39" t="e">
        <f t="shared" si="23"/>
        <v>#DIV/0!</v>
      </c>
    </row>
    <row r="221" spans="1:43" ht="20.100000000000001" customHeight="1" x14ac:dyDescent="0.25">
      <c r="A221" s="8">
        <v>219</v>
      </c>
      <c r="B221" s="48"/>
      <c r="C221" s="48"/>
      <c r="D221" s="48"/>
      <c r="E221" s="49"/>
      <c r="F221" s="49"/>
      <c r="G221" s="49"/>
      <c r="H221" s="49"/>
      <c r="I221" s="49"/>
      <c r="J221" s="49"/>
      <c r="K221" s="49"/>
      <c r="L221" s="49"/>
      <c r="M221" s="49"/>
      <c r="N221" s="49"/>
      <c r="O221" s="49"/>
      <c r="P221" s="49"/>
      <c r="Q221" s="49"/>
      <c r="R221" s="49"/>
      <c r="S221" s="49"/>
      <c r="T221" s="49"/>
      <c r="U221" s="49"/>
      <c r="V221" s="49"/>
      <c r="W221" s="49"/>
      <c r="X221" s="49"/>
      <c r="Y221" s="49"/>
      <c r="Z221" s="49"/>
      <c r="AA221" s="49"/>
      <c r="AB221" s="49"/>
      <c r="AC221" s="49"/>
      <c r="AD221" s="49"/>
      <c r="AE221" s="49"/>
      <c r="AF221" s="49"/>
      <c r="AG221" s="49"/>
      <c r="AH221" s="49"/>
      <c r="AI221" s="49"/>
      <c r="AJ221" s="49"/>
      <c r="AK221" s="49"/>
      <c r="AL221" s="40">
        <f t="shared" si="18"/>
        <v>0</v>
      </c>
      <c r="AM221" s="37">
        <f t="shared" si="19"/>
        <v>0</v>
      </c>
      <c r="AN221" s="37">
        <f t="shared" si="20"/>
        <v>0</v>
      </c>
      <c r="AO221" s="38" t="e">
        <f t="shared" si="21"/>
        <v>#DIV/0!</v>
      </c>
      <c r="AP221" s="38" t="e">
        <f t="shared" si="22"/>
        <v>#DIV/0!</v>
      </c>
      <c r="AQ221" s="39" t="e">
        <f t="shared" si="23"/>
        <v>#DIV/0!</v>
      </c>
    </row>
    <row r="222" spans="1:43" ht="20.100000000000001" customHeight="1" x14ac:dyDescent="0.25">
      <c r="A222" s="8">
        <v>220</v>
      </c>
      <c r="B222" s="48"/>
      <c r="C222" s="48"/>
      <c r="D222" s="48"/>
      <c r="E222" s="49"/>
      <c r="F222" s="49"/>
      <c r="G222" s="49"/>
      <c r="H222" s="49"/>
      <c r="I222" s="49"/>
      <c r="J222" s="49"/>
      <c r="K222" s="49"/>
      <c r="L222" s="49"/>
      <c r="M222" s="49"/>
      <c r="N222" s="49"/>
      <c r="O222" s="49"/>
      <c r="P222" s="49"/>
      <c r="Q222" s="49"/>
      <c r="R222" s="49"/>
      <c r="S222" s="49"/>
      <c r="T222" s="49"/>
      <c r="U222" s="49"/>
      <c r="V222" s="49"/>
      <c r="W222" s="49"/>
      <c r="X222" s="49"/>
      <c r="Y222" s="49"/>
      <c r="Z222" s="49"/>
      <c r="AA222" s="49"/>
      <c r="AB222" s="49"/>
      <c r="AC222" s="49"/>
      <c r="AD222" s="49"/>
      <c r="AE222" s="49"/>
      <c r="AF222" s="49"/>
      <c r="AG222" s="49"/>
      <c r="AH222" s="49"/>
      <c r="AI222" s="49"/>
      <c r="AJ222" s="49"/>
      <c r="AK222" s="49"/>
      <c r="AL222" s="40">
        <f t="shared" si="18"/>
        <v>0</v>
      </c>
      <c r="AM222" s="37">
        <f t="shared" si="19"/>
        <v>0</v>
      </c>
      <c r="AN222" s="37">
        <f t="shared" si="20"/>
        <v>0</v>
      </c>
      <c r="AO222" s="38" t="e">
        <f t="shared" si="21"/>
        <v>#DIV/0!</v>
      </c>
      <c r="AP222" s="38" t="e">
        <f t="shared" si="22"/>
        <v>#DIV/0!</v>
      </c>
      <c r="AQ222" s="39" t="e">
        <f t="shared" si="23"/>
        <v>#DIV/0!</v>
      </c>
    </row>
    <row r="223" spans="1:43" ht="20.100000000000001" customHeight="1" x14ac:dyDescent="0.25">
      <c r="A223" s="8">
        <v>221</v>
      </c>
      <c r="B223" s="48"/>
      <c r="C223" s="48"/>
      <c r="D223" s="48"/>
      <c r="E223" s="49"/>
      <c r="F223" s="49"/>
      <c r="G223" s="49"/>
      <c r="H223" s="49"/>
      <c r="I223" s="49"/>
      <c r="J223" s="49"/>
      <c r="K223" s="49"/>
      <c r="L223" s="49"/>
      <c r="M223" s="49"/>
      <c r="N223" s="49"/>
      <c r="O223" s="49"/>
      <c r="P223" s="49"/>
      <c r="Q223" s="49"/>
      <c r="R223" s="49"/>
      <c r="S223" s="49"/>
      <c r="T223" s="49"/>
      <c r="U223" s="49"/>
      <c r="V223" s="49"/>
      <c r="W223" s="49"/>
      <c r="X223" s="49"/>
      <c r="Y223" s="49"/>
      <c r="Z223" s="49"/>
      <c r="AA223" s="49"/>
      <c r="AB223" s="49"/>
      <c r="AC223" s="49"/>
      <c r="AD223" s="49"/>
      <c r="AE223" s="49"/>
      <c r="AF223" s="49"/>
      <c r="AG223" s="49"/>
      <c r="AH223" s="49"/>
      <c r="AI223" s="49"/>
      <c r="AJ223" s="49"/>
      <c r="AK223" s="49"/>
      <c r="AL223" s="40">
        <f t="shared" si="18"/>
        <v>0</v>
      </c>
      <c r="AM223" s="37">
        <f t="shared" si="19"/>
        <v>0</v>
      </c>
      <c r="AN223" s="37">
        <f t="shared" si="20"/>
        <v>0</v>
      </c>
      <c r="AO223" s="38" t="e">
        <f t="shared" si="21"/>
        <v>#DIV/0!</v>
      </c>
      <c r="AP223" s="38" t="e">
        <f t="shared" si="22"/>
        <v>#DIV/0!</v>
      </c>
      <c r="AQ223" s="39" t="e">
        <f t="shared" si="23"/>
        <v>#DIV/0!</v>
      </c>
    </row>
    <row r="224" spans="1:43" ht="20.100000000000001" customHeight="1" x14ac:dyDescent="0.25">
      <c r="A224" s="8">
        <v>222</v>
      </c>
      <c r="B224" s="48"/>
      <c r="C224" s="48"/>
      <c r="D224" s="48"/>
      <c r="E224" s="49"/>
      <c r="F224" s="49"/>
      <c r="G224" s="49"/>
      <c r="H224" s="49"/>
      <c r="I224" s="49"/>
      <c r="J224" s="49"/>
      <c r="K224" s="49"/>
      <c r="L224" s="49"/>
      <c r="M224" s="49"/>
      <c r="N224" s="49"/>
      <c r="O224" s="49"/>
      <c r="P224" s="49"/>
      <c r="Q224" s="49"/>
      <c r="R224" s="49"/>
      <c r="S224" s="49"/>
      <c r="T224" s="49"/>
      <c r="U224" s="49"/>
      <c r="V224" s="49"/>
      <c r="W224" s="49"/>
      <c r="X224" s="49"/>
      <c r="Y224" s="49"/>
      <c r="Z224" s="49"/>
      <c r="AA224" s="49"/>
      <c r="AB224" s="49"/>
      <c r="AC224" s="49"/>
      <c r="AD224" s="49"/>
      <c r="AE224" s="49"/>
      <c r="AF224" s="49"/>
      <c r="AG224" s="49"/>
      <c r="AH224" s="49"/>
      <c r="AI224" s="49"/>
      <c r="AJ224" s="49"/>
      <c r="AK224" s="49"/>
      <c r="AL224" s="40">
        <f t="shared" si="18"/>
        <v>0</v>
      </c>
      <c r="AM224" s="37">
        <f t="shared" si="19"/>
        <v>0</v>
      </c>
      <c r="AN224" s="37">
        <f t="shared" si="20"/>
        <v>0</v>
      </c>
      <c r="AO224" s="38" t="e">
        <f t="shared" si="21"/>
        <v>#DIV/0!</v>
      </c>
      <c r="AP224" s="38" t="e">
        <f t="shared" si="22"/>
        <v>#DIV/0!</v>
      </c>
      <c r="AQ224" s="39" t="e">
        <f t="shared" si="23"/>
        <v>#DIV/0!</v>
      </c>
    </row>
    <row r="225" spans="1:43" ht="20.100000000000001" customHeight="1" x14ac:dyDescent="0.25">
      <c r="A225" s="8">
        <v>223</v>
      </c>
      <c r="B225" s="48"/>
      <c r="C225" s="48"/>
      <c r="D225" s="48"/>
      <c r="E225" s="49"/>
      <c r="F225" s="49"/>
      <c r="G225" s="49"/>
      <c r="H225" s="49"/>
      <c r="I225" s="49"/>
      <c r="J225" s="49"/>
      <c r="K225" s="49"/>
      <c r="L225" s="49"/>
      <c r="M225" s="49"/>
      <c r="N225" s="49"/>
      <c r="O225" s="49"/>
      <c r="P225" s="49"/>
      <c r="Q225" s="49"/>
      <c r="R225" s="49"/>
      <c r="S225" s="49"/>
      <c r="T225" s="49"/>
      <c r="U225" s="49"/>
      <c r="V225" s="49"/>
      <c r="W225" s="49"/>
      <c r="X225" s="49"/>
      <c r="Y225" s="49"/>
      <c r="Z225" s="49"/>
      <c r="AA225" s="49"/>
      <c r="AB225" s="49"/>
      <c r="AC225" s="49"/>
      <c r="AD225" s="49"/>
      <c r="AE225" s="49"/>
      <c r="AF225" s="49"/>
      <c r="AG225" s="49"/>
      <c r="AH225" s="49"/>
      <c r="AI225" s="49"/>
      <c r="AJ225" s="49"/>
      <c r="AK225" s="49"/>
      <c r="AL225" s="40">
        <f t="shared" si="18"/>
        <v>0</v>
      </c>
      <c r="AM225" s="37">
        <f t="shared" si="19"/>
        <v>0</v>
      </c>
      <c r="AN225" s="37">
        <f t="shared" si="20"/>
        <v>0</v>
      </c>
      <c r="AO225" s="38" t="e">
        <f t="shared" si="21"/>
        <v>#DIV/0!</v>
      </c>
      <c r="AP225" s="38" t="e">
        <f t="shared" si="22"/>
        <v>#DIV/0!</v>
      </c>
      <c r="AQ225" s="39" t="e">
        <f t="shared" si="23"/>
        <v>#DIV/0!</v>
      </c>
    </row>
    <row r="226" spans="1:43" ht="20.100000000000001" customHeight="1" x14ac:dyDescent="0.25">
      <c r="A226" s="8">
        <v>224</v>
      </c>
      <c r="B226" s="48"/>
      <c r="C226" s="48"/>
      <c r="D226" s="48"/>
      <c r="E226" s="49"/>
      <c r="F226" s="49"/>
      <c r="G226" s="49"/>
      <c r="H226" s="49"/>
      <c r="I226" s="49"/>
      <c r="J226" s="49"/>
      <c r="K226" s="49"/>
      <c r="L226" s="49"/>
      <c r="M226" s="49"/>
      <c r="N226" s="49"/>
      <c r="O226" s="49"/>
      <c r="P226" s="49"/>
      <c r="Q226" s="49"/>
      <c r="R226" s="49"/>
      <c r="S226" s="49"/>
      <c r="T226" s="49"/>
      <c r="U226" s="49"/>
      <c r="V226" s="49"/>
      <c r="W226" s="49"/>
      <c r="X226" s="49"/>
      <c r="Y226" s="49"/>
      <c r="Z226" s="49"/>
      <c r="AA226" s="49"/>
      <c r="AB226" s="49"/>
      <c r="AC226" s="49"/>
      <c r="AD226" s="49"/>
      <c r="AE226" s="49"/>
      <c r="AF226" s="49"/>
      <c r="AG226" s="49"/>
      <c r="AH226" s="49"/>
      <c r="AI226" s="49"/>
      <c r="AJ226" s="49"/>
      <c r="AK226" s="49"/>
      <c r="AL226" s="40">
        <f t="shared" si="18"/>
        <v>0</v>
      </c>
      <c r="AM226" s="37">
        <f t="shared" si="19"/>
        <v>0</v>
      </c>
      <c r="AN226" s="37">
        <f t="shared" si="20"/>
        <v>0</v>
      </c>
      <c r="AO226" s="38" t="e">
        <f t="shared" si="21"/>
        <v>#DIV/0!</v>
      </c>
      <c r="AP226" s="38" t="e">
        <f t="shared" si="22"/>
        <v>#DIV/0!</v>
      </c>
      <c r="AQ226" s="39" t="e">
        <f t="shared" si="23"/>
        <v>#DIV/0!</v>
      </c>
    </row>
    <row r="227" spans="1:43" ht="20.100000000000001" customHeight="1" x14ac:dyDescent="0.25">
      <c r="A227" s="8">
        <v>225</v>
      </c>
      <c r="B227" s="48"/>
      <c r="C227" s="48"/>
      <c r="D227" s="48"/>
      <c r="E227" s="49"/>
      <c r="F227" s="49"/>
      <c r="G227" s="49"/>
      <c r="H227" s="49"/>
      <c r="I227" s="49"/>
      <c r="J227" s="49"/>
      <c r="K227" s="49"/>
      <c r="L227" s="49"/>
      <c r="M227" s="49"/>
      <c r="N227" s="49"/>
      <c r="O227" s="49"/>
      <c r="P227" s="49"/>
      <c r="Q227" s="49"/>
      <c r="R227" s="49"/>
      <c r="S227" s="49"/>
      <c r="T227" s="49"/>
      <c r="U227" s="49"/>
      <c r="V227" s="49"/>
      <c r="W227" s="49"/>
      <c r="X227" s="49"/>
      <c r="Y227" s="49"/>
      <c r="Z227" s="49"/>
      <c r="AA227" s="49"/>
      <c r="AB227" s="49"/>
      <c r="AC227" s="49"/>
      <c r="AD227" s="49"/>
      <c r="AE227" s="49"/>
      <c r="AF227" s="49"/>
      <c r="AG227" s="49"/>
      <c r="AH227" s="49"/>
      <c r="AI227" s="49"/>
      <c r="AJ227" s="49"/>
      <c r="AK227" s="49"/>
      <c r="AL227" s="40">
        <f t="shared" si="18"/>
        <v>0</v>
      </c>
      <c r="AM227" s="37">
        <f t="shared" si="19"/>
        <v>0</v>
      </c>
      <c r="AN227" s="37">
        <f t="shared" si="20"/>
        <v>0</v>
      </c>
      <c r="AO227" s="38" t="e">
        <f t="shared" si="21"/>
        <v>#DIV/0!</v>
      </c>
      <c r="AP227" s="38" t="e">
        <f t="shared" si="22"/>
        <v>#DIV/0!</v>
      </c>
      <c r="AQ227" s="39" t="e">
        <f t="shared" si="23"/>
        <v>#DIV/0!</v>
      </c>
    </row>
    <row r="228" spans="1:43" ht="20.100000000000001" customHeight="1" x14ac:dyDescent="0.25">
      <c r="A228" s="8">
        <v>226</v>
      </c>
      <c r="B228" s="48"/>
      <c r="C228" s="48"/>
      <c r="D228" s="48"/>
      <c r="E228" s="49"/>
      <c r="F228" s="49"/>
      <c r="G228" s="49"/>
      <c r="H228" s="49"/>
      <c r="I228" s="49"/>
      <c r="J228" s="49"/>
      <c r="K228" s="49"/>
      <c r="L228" s="49"/>
      <c r="M228" s="49"/>
      <c r="N228" s="49"/>
      <c r="O228" s="49"/>
      <c r="P228" s="49"/>
      <c r="Q228" s="49"/>
      <c r="R228" s="49"/>
      <c r="S228" s="49"/>
      <c r="T228" s="49"/>
      <c r="U228" s="49"/>
      <c r="V228" s="49"/>
      <c r="W228" s="49"/>
      <c r="X228" s="49"/>
      <c r="Y228" s="49"/>
      <c r="Z228" s="49"/>
      <c r="AA228" s="49"/>
      <c r="AB228" s="49"/>
      <c r="AC228" s="49"/>
      <c r="AD228" s="49"/>
      <c r="AE228" s="49"/>
      <c r="AF228" s="49"/>
      <c r="AG228" s="49"/>
      <c r="AH228" s="49"/>
      <c r="AI228" s="49"/>
      <c r="AJ228" s="49"/>
      <c r="AK228" s="49"/>
      <c r="AL228" s="40">
        <f t="shared" si="18"/>
        <v>0</v>
      </c>
      <c r="AM228" s="37">
        <f t="shared" si="19"/>
        <v>0</v>
      </c>
      <c r="AN228" s="37">
        <f t="shared" si="20"/>
        <v>0</v>
      </c>
      <c r="AO228" s="38" t="e">
        <f t="shared" si="21"/>
        <v>#DIV/0!</v>
      </c>
      <c r="AP228" s="38" t="e">
        <f t="shared" si="22"/>
        <v>#DIV/0!</v>
      </c>
      <c r="AQ228" s="39" t="e">
        <f t="shared" si="23"/>
        <v>#DIV/0!</v>
      </c>
    </row>
    <row r="229" spans="1:43" ht="20.100000000000001" customHeight="1" x14ac:dyDescent="0.25">
      <c r="A229" s="8">
        <v>227</v>
      </c>
      <c r="B229" s="48"/>
      <c r="C229" s="48"/>
      <c r="D229" s="48"/>
      <c r="E229" s="49"/>
      <c r="F229" s="49"/>
      <c r="G229" s="49"/>
      <c r="H229" s="49"/>
      <c r="I229" s="49"/>
      <c r="J229" s="49"/>
      <c r="K229" s="49"/>
      <c r="L229" s="49"/>
      <c r="M229" s="49"/>
      <c r="N229" s="49"/>
      <c r="O229" s="49"/>
      <c r="P229" s="49"/>
      <c r="Q229" s="49"/>
      <c r="R229" s="49"/>
      <c r="S229" s="49"/>
      <c r="T229" s="49"/>
      <c r="U229" s="49"/>
      <c r="V229" s="49"/>
      <c r="W229" s="49"/>
      <c r="X229" s="49"/>
      <c r="Y229" s="49"/>
      <c r="Z229" s="49"/>
      <c r="AA229" s="49"/>
      <c r="AB229" s="49"/>
      <c r="AC229" s="49"/>
      <c r="AD229" s="49"/>
      <c r="AE229" s="49"/>
      <c r="AF229" s="49"/>
      <c r="AG229" s="49"/>
      <c r="AH229" s="49"/>
      <c r="AI229" s="49"/>
      <c r="AJ229" s="49"/>
      <c r="AK229" s="49"/>
      <c r="AL229" s="40">
        <f t="shared" si="18"/>
        <v>0</v>
      </c>
      <c r="AM229" s="37">
        <f t="shared" si="19"/>
        <v>0</v>
      </c>
      <c r="AN229" s="37">
        <f t="shared" si="20"/>
        <v>0</v>
      </c>
      <c r="AO229" s="38" t="e">
        <f t="shared" si="21"/>
        <v>#DIV/0!</v>
      </c>
      <c r="AP229" s="38" t="e">
        <f t="shared" si="22"/>
        <v>#DIV/0!</v>
      </c>
      <c r="AQ229" s="39" t="e">
        <f t="shared" si="23"/>
        <v>#DIV/0!</v>
      </c>
    </row>
    <row r="230" spans="1:43" ht="20.100000000000001" customHeight="1" x14ac:dyDescent="0.25">
      <c r="A230" s="8">
        <v>228</v>
      </c>
      <c r="B230" s="48"/>
      <c r="C230" s="48"/>
      <c r="D230" s="48"/>
      <c r="E230" s="49"/>
      <c r="F230" s="49"/>
      <c r="G230" s="49"/>
      <c r="H230" s="49"/>
      <c r="I230" s="49"/>
      <c r="J230" s="49"/>
      <c r="K230" s="49"/>
      <c r="L230" s="49"/>
      <c r="M230" s="49"/>
      <c r="N230" s="49"/>
      <c r="O230" s="49"/>
      <c r="P230" s="49"/>
      <c r="Q230" s="49"/>
      <c r="R230" s="49"/>
      <c r="S230" s="49"/>
      <c r="T230" s="49"/>
      <c r="U230" s="49"/>
      <c r="V230" s="49"/>
      <c r="W230" s="49"/>
      <c r="X230" s="49"/>
      <c r="Y230" s="49"/>
      <c r="Z230" s="49"/>
      <c r="AA230" s="49"/>
      <c r="AB230" s="49"/>
      <c r="AC230" s="49"/>
      <c r="AD230" s="49"/>
      <c r="AE230" s="49"/>
      <c r="AF230" s="49"/>
      <c r="AG230" s="49"/>
      <c r="AH230" s="49"/>
      <c r="AI230" s="49"/>
      <c r="AJ230" s="49"/>
      <c r="AK230" s="49"/>
      <c r="AL230" s="40">
        <f t="shared" si="18"/>
        <v>0</v>
      </c>
      <c r="AM230" s="37">
        <f t="shared" si="19"/>
        <v>0</v>
      </c>
      <c r="AN230" s="37">
        <f t="shared" si="20"/>
        <v>0</v>
      </c>
      <c r="AO230" s="38" t="e">
        <f t="shared" si="21"/>
        <v>#DIV/0!</v>
      </c>
      <c r="AP230" s="38" t="e">
        <f t="shared" si="22"/>
        <v>#DIV/0!</v>
      </c>
      <c r="AQ230" s="39" t="e">
        <f t="shared" si="23"/>
        <v>#DIV/0!</v>
      </c>
    </row>
    <row r="231" spans="1:43" ht="20.100000000000001" customHeight="1" x14ac:dyDescent="0.25">
      <c r="A231" s="8">
        <v>229</v>
      </c>
      <c r="B231" s="48"/>
      <c r="C231" s="48"/>
      <c r="D231" s="48"/>
      <c r="E231" s="49"/>
      <c r="F231" s="49"/>
      <c r="G231" s="49"/>
      <c r="H231" s="49"/>
      <c r="I231" s="49"/>
      <c r="J231" s="49"/>
      <c r="K231" s="49"/>
      <c r="L231" s="49"/>
      <c r="M231" s="49"/>
      <c r="N231" s="49"/>
      <c r="O231" s="49"/>
      <c r="P231" s="49"/>
      <c r="Q231" s="49"/>
      <c r="R231" s="49"/>
      <c r="S231" s="49"/>
      <c r="T231" s="49"/>
      <c r="U231" s="49"/>
      <c r="V231" s="49"/>
      <c r="W231" s="49"/>
      <c r="X231" s="49"/>
      <c r="Y231" s="49"/>
      <c r="Z231" s="49"/>
      <c r="AA231" s="49"/>
      <c r="AB231" s="49"/>
      <c r="AC231" s="49"/>
      <c r="AD231" s="49"/>
      <c r="AE231" s="49"/>
      <c r="AF231" s="49"/>
      <c r="AG231" s="49"/>
      <c r="AH231" s="49"/>
      <c r="AI231" s="49"/>
      <c r="AJ231" s="49"/>
      <c r="AK231" s="49"/>
      <c r="AL231" s="40">
        <f t="shared" si="18"/>
        <v>0</v>
      </c>
      <c r="AM231" s="37">
        <f t="shared" si="19"/>
        <v>0</v>
      </c>
      <c r="AN231" s="37">
        <f t="shared" si="20"/>
        <v>0</v>
      </c>
      <c r="AO231" s="38" t="e">
        <f t="shared" si="21"/>
        <v>#DIV/0!</v>
      </c>
      <c r="AP231" s="38" t="e">
        <f t="shared" si="22"/>
        <v>#DIV/0!</v>
      </c>
      <c r="AQ231" s="39" t="e">
        <f t="shared" si="23"/>
        <v>#DIV/0!</v>
      </c>
    </row>
    <row r="232" spans="1:43" ht="20.100000000000001" customHeight="1" x14ac:dyDescent="0.25">
      <c r="A232" s="8">
        <v>230</v>
      </c>
      <c r="B232" s="48"/>
      <c r="C232" s="48"/>
      <c r="D232" s="48"/>
      <c r="E232" s="49"/>
      <c r="F232" s="49"/>
      <c r="G232" s="49"/>
      <c r="H232" s="49"/>
      <c r="I232" s="49"/>
      <c r="J232" s="49"/>
      <c r="K232" s="49"/>
      <c r="L232" s="49"/>
      <c r="M232" s="49"/>
      <c r="N232" s="49"/>
      <c r="O232" s="49"/>
      <c r="P232" s="49"/>
      <c r="Q232" s="49"/>
      <c r="R232" s="49"/>
      <c r="S232" s="49"/>
      <c r="T232" s="49"/>
      <c r="U232" s="49"/>
      <c r="V232" s="49"/>
      <c r="W232" s="49"/>
      <c r="X232" s="49"/>
      <c r="Y232" s="49"/>
      <c r="Z232" s="49"/>
      <c r="AA232" s="49"/>
      <c r="AB232" s="49"/>
      <c r="AC232" s="49"/>
      <c r="AD232" s="49"/>
      <c r="AE232" s="49"/>
      <c r="AF232" s="49"/>
      <c r="AG232" s="49"/>
      <c r="AH232" s="49"/>
      <c r="AI232" s="49"/>
      <c r="AJ232" s="49"/>
      <c r="AK232" s="49"/>
      <c r="AL232" s="40">
        <f t="shared" si="18"/>
        <v>0</v>
      </c>
      <c r="AM232" s="37">
        <f t="shared" si="19"/>
        <v>0</v>
      </c>
      <c r="AN232" s="37">
        <f t="shared" si="20"/>
        <v>0</v>
      </c>
      <c r="AO232" s="38" t="e">
        <f t="shared" si="21"/>
        <v>#DIV/0!</v>
      </c>
      <c r="AP232" s="38" t="e">
        <f t="shared" si="22"/>
        <v>#DIV/0!</v>
      </c>
      <c r="AQ232" s="39" t="e">
        <f t="shared" si="23"/>
        <v>#DIV/0!</v>
      </c>
    </row>
    <row r="233" spans="1:43" ht="20.100000000000001" customHeight="1" x14ac:dyDescent="0.25">
      <c r="A233" s="8">
        <v>231</v>
      </c>
      <c r="B233" s="48"/>
      <c r="C233" s="48"/>
      <c r="D233" s="48"/>
      <c r="E233" s="49"/>
      <c r="F233" s="49"/>
      <c r="G233" s="49"/>
      <c r="H233" s="49"/>
      <c r="I233" s="49"/>
      <c r="J233" s="49"/>
      <c r="K233" s="49"/>
      <c r="L233" s="49"/>
      <c r="M233" s="49"/>
      <c r="N233" s="49"/>
      <c r="O233" s="49"/>
      <c r="P233" s="49"/>
      <c r="Q233" s="49"/>
      <c r="R233" s="49"/>
      <c r="S233" s="49"/>
      <c r="T233" s="49"/>
      <c r="U233" s="49"/>
      <c r="V233" s="49"/>
      <c r="W233" s="49"/>
      <c r="X233" s="49"/>
      <c r="Y233" s="49"/>
      <c r="Z233" s="49"/>
      <c r="AA233" s="49"/>
      <c r="AB233" s="49"/>
      <c r="AC233" s="49"/>
      <c r="AD233" s="49"/>
      <c r="AE233" s="49"/>
      <c r="AF233" s="49"/>
      <c r="AG233" s="49"/>
      <c r="AH233" s="49"/>
      <c r="AI233" s="49"/>
      <c r="AJ233" s="49"/>
      <c r="AK233" s="49"/>
      <c r="AL233" s="40">
        <f t="shared" si="18"/>
        <v>0</v>
      </c>
      <c r="AM233" s="37">
        <f t="shared" si="19"/>
        <v>0</v>
      </c>
      <c r="AN233" s="37">
        <f t="shared" si="20"/>
        <v>0</v>
      </c>
      <c r="AO233" s="38" t="e">
        <f t="shared" si="21"/>
        <v>#DIV/0!</v>
      </c>
      <c r="AP233" s="38" t="e">
        <f t="shared" si="22"/>
        <v>#DIV/0!</v>
      </c>
      <c r="AQ233" s="39" t="e">
        <f t="shared" si="23"/>
        <v>#DIV/0!</v>
      </c>
    </row>
    <row r="234" spans="1:43" ht="20.100000000000001" customHeight="1" x14ac:dyDescent="0.25">
      <c r="A234" s="8">
        <v>232</v>
      </c>
      <c r="B234" s="48"/>
      <c r="C234" s="48"/>
      <c r="D234" s="48"/>
      <c r="E234" s="49"/>
      <c r="F234" s="49"/>
      <c r="G234" s="49"/>
      <c r="H234" s="49"/>
      <c r="I234" s="49"/>
      <c r="J234" s="49"/>
      <c r="K234" s="49"/>
      <c r="L234" s="49"/>
      <c r="M234" s="49"/>
      <c r="N234" s="49"/>
      <c r="O234" s="49"/>
      <c r="P234" s="49"/>
      <c r="Q234" s="49"/>
      <c r="R234" s="49"/>
      <c r="S234" s="49"/>
      <c r="T234" s="49"/>
      <c r="U234" s="49"/>
      <c r="V234" s="49"/>
      <c r="W234" s="49"/>
      <c r="X234" s="49"/>
      <c r="Y234" s="49"/>
      <c r="Z234" s="49"/>
      <c r="AA234" s="49"/>
      <c r="AB234" s="49"/>
      <c r="AC234" s="49"/>
      <c r="AD234" s="49"/>
      <c r="AE234" s="49"/>
      <c r="AF234" s="49"/>
      <c r="AG234" s="49"/>
      <c r="AH234" s="49"/>
      <c r="AI234" s="49"/>
      <c r="AJ234" s="49"/>
      <c r="AK234" s="49"/>
      <c r="AL234" s="40">
        <f t="shared" si="18"/>
        <v>0</v>
      </c>
      <c r="AM234" s="37">
        <f t="shared" si="19"/>
        <v>0</v>
      </c>
      <c r="AN234" s="37">
        <f t="shared" si="20"/>
        <v>0</v>
      </c>
      <c r="AO234" s="38" t="e">
        <f t="shared" si="21"/>
        <v>#DIV/0!</v>
      </c>
      <c r="AP234" s="38" t="e">
        <f t="shared" si="22"/>
        <v>#DIV/0!</v>
      </c>
      <c r="AQ234" s="39" t="e">
        <f t="shared" si="23"/>
        <v>#DIV/0!</v>
      </c>
    </row>
    <row r="235" spans="1:43" ht="20.100000000000001" customHeight="1" x14ac:dyDescent="0.25">
      <c r="A235" s="8">
        <v>233</v>
      </c>
      <c r="B235" s="48"/>
      <c r="C235" s="48"/>
      <c r="D235" s="48"/>
      <c r="E235" s="49"/>
      <c r="F235" s="49"/>
      <c r="G235" s="49"/>
      <c r="H235" s="49"/>
      <c r="I235" s="49"/>
      <c r="J235" s="49"/>
      <c r="K235" s="49"/>
      <c r="L235" s="49"/>
      <c r="M235" s="49"/>
      <c r="N235" s="49"/>
      <c r="O235" s="49"/>
      <c r="P235" s="49"/>
      <c r="Q235" s="49"/>
      <c r="R235" s="49"/>
      <c r="S235" s="49"/>
      <c r="T235" s="49"/>
      <c r="U235" s="49"/>
      <c r="V235" s="49"/>
      <c r="W235" s="49"/>
      <c r="X235" s="49"/>
      <c r="Y235" s="49"/>
      <c r="Z235" s="49"/>
      <c r="AA235" s="49"/>
      <c r="AB235" s="49"/>
      <c r="AC235" s="49"/>
      <c r="AD235" s="49"/>
      <c r="AE235" s="49"/>
      <c r="AF235" s="49"/>
      <c r="AG235" s="49"/>
      <c r="AH235" s="49"/>
      <c r="AI235" s="49"/>
      <c r="AJ235" s="49"/>
      <c r="AK235" s="49"/>
      <c r="AL235" s="40">
        <f t="shared" si="18"/>
        <v>0</v>
      </c>
      <c r="AM235" s="37">
        <f t="shared" si="19"/>
        <v>0</v>
      </c>
      <c r="AN235" s="37">
        <f t="shared" si="20"/>
        <v>0</v>
      </c>
      <c r="AO235" s="38" t="e">
        <f t="shared" si="21"/>
        <v>#DIV/0!</v>
      </c>
      <c r="AP235" s="38" t="e">
        <f t="shared" si="22"/>
        <v>#DIV/0!</v>
      </c>
      <c r="AQ235" s="39" t="e">
        <f t="shared" si="23"/>
        <v>#DIV/0!</v>
      </c>
    </row>
    <row r="236" spans="1:43" ht="20.100000000000001" customHeight="1" x14ac:dyDescent="0.25">
      <c r="A236" s="8">
        <v>234</v>
      </c>
      <c r="B236" s="48"/>
      <c r="C236" s="48"/>
      <c r="D236" s="48"/>
      <c r="E236" s="49"/>
      <c r="F236" s="49"/>
      <c r="G236" s="49"/>
      <c r="H236" s="49"/>
      <c r="I236" s="49"/>
      <c r="J236" s="49"/>
      <c r="K236" s="49"/>
      <c r="L236" s="49"/>
      <c r="M236" s="49"/>
      <c r="N236" s="49"/>
      <c r="O236" s="49"/>
      <c r="P236" s="49"/>
      <c r="Q236" s="49"/>
      <c r="R236" s="49"/>
      <c r="S236" s="49"/>
      <c r="T236" s="49"/>
      <c r="U236" s="49"/>
      <c r="V236" s="49"/>
      <c r="W236" s="49"/>
      <c r="X236" s="49"/>
      <c r="Y236" s="49"/>
      <c r="Z236" s="49"/>
      <c r="AA236" s="49"/>
      <c r="AB236" s="49"/>
      <c r="AC236" s="49"/>
      <c r="AD236" s="49"/>
      <c r="AE236" s="49"/>
      <c r="AF236" s="49"/>
      <c r="AG236" s="49"/>
      <c r="AH236" s="49"/>
      <c r="AI236" s="49"/>
      <c r="AJ236" s="49"/>
      <c r="AK236" s="49"/>
      <c r="AL236" s="40">
        <f t="shared" si="18"/>
        <v>0</v>
      </c>
      <c r="AM236" s="37">
        <f t="shared" si="19"/>
        <v>0</v>
      </c>
      <c r="AN236" s="37">
        <f t="shared" si="20"/>
        <v>0</v>
      </c>
      <c r="AO236" s="38" t="e">
        <f t="shared" si="21"/>
        <v>#DIV/0!</v>
      </c>
      <c r="AP236" s="38" t="e">
        <f t="shared" si="22"/>
        <v>#DIV/0!</v>
      </c>
      <c r="AQ236" s="39" t="e">
        <f t="shared" si="23"/>
        <v>#DIV/0!</v>
      </c>
    </row>
    <row r="237" spans="1:43" ht="20.100000000000001" customHeight="1" x14ac:dyDescent="0.25">
      <c r="A237" s="8">
        <v>235</v>
      </c>
      <c r="B237" s="48"/>
      <c r="C237" s="48"/>
      <c r="D237" s="48"/>
      <c r="E237" s="49"/>
      <c r="F237" s="49"/>
      <c r="G237" s="49"/>
      <c r="H237" s="49"/>
      <c r="I237" s="49"/>
      <c r="J237" s="49"/>
      <c r="K237" s="49"/>
      <c r="L237" s="49"/>
      <c r="M237" s="49"/>
      <c r="N237" s="49"/>
      <c r="O237" s="49"/>
      <c r="P237" s="49"/>
      <c r="Q237" s="49"/>
      <c r="R237" s="49"/>
      <c r="S237" s="49"/>
      <c r="T237" s="49"/>
      <c r="U237" s="49"/>
      <c r="V237" s="49"/>
      <c r="W237" s="49"/>
      <c r="X237" s="49"/>
      <c r="Y237" s="49"/>
      <c r="Z237" s="49"/>
      <c r="AA237" s="49"/>
      <c r="AB237" s="49"/>
      <c r="AC237" s="49"/>
      <c r="AD237" s="49"/>
      <c r="AE237" s="49"/>
      <c r="AF237" s="49"/>
      <c r="AG237" s="49"/>
      <c r="AH237" s="49"/>
      <c r="AI237" s="49"/>
      <c r="AJ237" s="49"/>
      <c r="AK237" s="49"/>
      <c r="AL237" s="40">
        <f t="shared" si="18"/>
        <v>0</v>
      </c>
      <c r="AM237" s="37">
        <f t="shared" si="19"/>
        <v>0</v>
      </c>
      <c r="AN237" s="37">
        <f t="shared" si="20"/>
        <v>0</v>
      </c>
      <c r="AO237" s="38" t="e">
        <f t="shared" si="21"/>
        <v>#DIV/0!</v>
      </c>
      <c r="AP237" s="38" t="e">
        <f t="shared" si="22"/>
        <v>#DIV/0!</v>
      </c>
      <c r="AQ237" s="39" t="e">
        <f t="shared" si="23"/>
        <v>#DIV/0!</v>
      </c>
    </row>
    <row r="238" spans="1:43" ht="20.100000000000001" customHeight="1" x14ac:dyDescent="0.25">
      <c r="A238" s="8">
        <v>236</v>
      </c>
      <c r="B238" s="48"/>
      <c r="C238" s="48"/>
      <c r="D238" s="48"/>
      <c r="E238" s="49"/>
      <c r="F238" s="49"/>
      <c r="G238" s="49"/>
      <c r="H238" s="49"/>
      <c r="I238" s="49"/>
      <c r="J238" s="49"/>
      <c r="K238" s="49"/>
      <c r="L238" s="49"/>
      <c r="M238" s="49"/>
      <c r="N238" s="49"/>
      <c r="O238" s="49"/>
      <c r="P238" s="49"/>
      <c r="Q238" s="49"/>
      <c r="R238" s="49"/>
      <c r="S238" s="49"/>
      <c r="T238" s="49"/>
      <c r="U238" s="49"/>
      <c r="V238" s="49"/>
      <c r="W238" s="49"/>
      <c r="X238" s="49"/>
      <c r="Y238" s="49"/>
      <c r="Z238" s="49"/>
      <c r="AA238" s="49"/>
      <c r="AB238" s="49"/>
      <c r="AC238" s="49"/>
      <c r="AD238" s="49"/>
      <c r="AE238" s="49"/>
      <c r="AF238" s="49"/>
      <c r="AG238" s="49"/>
      <c r="AH238" s="49"/>
      <c r="AI238" s="49"/>
      <c r="AJ238" s="49"/>
      <c r="AK238" s="49"/>
      <c r="AL238" s="40">
        <f t="shared" si="18"/>
        <v>0</v>
      </c>
      <c r="AM238" s="37">
        <f t="shared" si="19"/>
        <v>0</v>
      </c>
      <c r="AN238" s="37">
        <f t="shared" si="20"/>
        <v>0</v>
      </c>
      <c r="AO238" s="38" t="e">
        <f t="shared" si="21"/>
        <v>#DIV/0!</v>
      </c>
      <c r="AP238" s="38" t="e">
        <f t="shared" si="22"/>
        <v>#DIV/0!</v>
      </c>
      <c r="AQ238" s="39" t="e">
        <f t="shared" si="23"/>
        <v>#DIV/0!</v>
      </c>
    </row>
    <row r="239" spans="1:43" ht="20.100000000000001" customHeight="1" x14ac:dyDescent="0.25">
      <c r="A239" s="8">
        <v>237</v>
      </c>
      <c r="B239" s="48"/>
      <c r="C239" s="48"/>
      <c r="D239" s="48"/>
      <c r="E239" s="49"/>
      <c r="F239" s="49"/>
      <c r="G239" s="49"/>
      <c r="H239" s="49"/>
      <c r="I239" s="49"/>
      <c r="J239" s="49"/>
      <c r="K239" s="49"/>
      <c r="L239" s="49"/>
      <c r="M239" s="49"/>
      <c r="N239" s="49"/>
      <c r="O239" s="49"/>
      <c r="P239" s="49"/>
      <c r="Q239" s="49"/>
      <c r="R239" s="49"/>
      <c r="S239" s="49"/>
      <c r="T239" s="49"/>
      <c r="U239" s="49"/>
      <c r="V239" s="49"/>
      <c r="W239" s="49"/>
      <c r="X239" s="49"/>
      <c r="Y239" s="49"/>
      <c r="Z239" s="49"/>
      <c r="AA239" s="49"/>
      <c r="AB239" s="49"/>
      <c r="AC239" s="49"/>
      <c r="AD239" s="49"/>
      <c r="AE239" s="49"/>
      <c r="AF239" s="49"/>
      <c r="AG239" s="49"/>
      <c r="AH239" s="49"/>
      <c r="AI239" s="49"/>
      <c r="AJ239" s="49"/>
      <c r="AK239" s="49"/>
      <c r="AL239" s="40">
        <f t="shared" si="18"/>
        <v>0</v>
      </c>
      <c r="AM239" s="37">
        <f t="shared" si="19"/>
        <v>0</v>
      </c>
      <c r="AN239" s="37">
        <f t="shared" si="20"/>
        <v>0</v>
      </c>
      <c r="AO239" s="38" t="e">
        <f t="shared" si="21"/>
        <v>#DIV/0!</v>
      </c>
      <c r="AP239" s="38" t="e">
        <f t="shared" si="22"/>
        <v>#DIV/0!</v>
      </c>
      <c r="AQ239" s="39" t="e">
        <f t="shared" si="23"/>
        <v>#DIV/0!</v>
      </c>
    </row>
    <row r="240" spans="1:43" ht="20.100000000000001" customHeight="1" x14ac:dyDescent="0.25">
      <c r="A240" s="8">
        <v>238</v>
      </c>
      <c r="B240" s="48"/>
      <c r="C240" s="48"/>
      <c r="D240" s="48"/>
      <c r="E240" s="49"/>
      <c r="F240" s="49"/>
      <c r="G240" s="49"/>
      <c r="H240" s="49"/>
      <c r="I240" s="49"/>
      <c r="J240" s="49"/>
      <c r="K240" s="49"/>
      <c r="L240" s="49"/>
      <c r="M240" s="49"/>
      <c r="N240" s="49"/>
      <c r="O240" s="49"/>
      <c r="P240" s="49"/>
      <c r="Q240" s="49"/>
      <c r="R240" s="49"/>
      <c r="S240" s="49"/>
      <c r="T240" s="49"/>
      <c r="U240" s="49"/>
      <c r="V240" s="49"/>
      <c r="W240" s="49"/>
      <c r="X240" s="49"/>
      <c r="Y240" s="49"/>
      <c r="Z240" s="49"/>
      <c r="AA240" s="49"/>
      <c r="AB240" s="49"/>
      <c r="AC240" s="49"/>
      <c r="AD240" s="49"/>
      <c r="AE240" s="49"/>
      <c r="AF240" s="49"/>
      <c r="AG240" s="49"/>
      <c r="AH240" s="49"/>
      <c r="AI240" s="49"/>
      <c r="AJ240" s="49"/>
      <c r="AK240" s="49"/>
      <c r="AL240" s="40">
        <f t="shared" si="18"/>
        <v>0</v>
      </c>
      <c r="AM240" s="37">
        <f t="shared" si="19"/>
        <v>0</v>
      </c>
      <c r="AN240" s="37">
        <f t="shared" si="20"/>
        <v>0</v>
      </c>
      <c r="AO240" s="38" t="e">
        <f t="shared" si="21"/>
        <v>#DIV/0!</v>
      </c>
      <c r="AP240" s="38" t="e">
        <f t="shared" si="22"/>
        <v>#DIV/0!</v>
      </c>
      <c r="AQ240" s="39" t="e">
        <f t="shared" si="23"/>
        <v>#DIV/0!</v>
      </c>
    </row>
    <row r="241" spans="1:43" ht="20.100000000000001" customHeight="1" x14ac:dyDescent="0.25">
      <c r="A241" s="8">
        <v>239</v>
      </c>
      <c r="B241" s="48"/>
      <c r="C241" s="48"/>
      <c r="D241" s="48"/>
      <c r="E241" s="49"/>
      <c r="F241" s="49"/>
      <c r="G241" s="49"/>
      <c r="H241" s="49"/>
      <c r="I241" s="49"/>
      <c r="J241" s="49"/>
      <c r="K241" s="49"/>
      <c r="L241" s="49"/>
      <c r="M241" s="49"/>
      <c r="N241" s="49"/>
      <c r="O241" s="49"/>
      <c r="P241" s="49"/>
      <c r="Q241" s="49"/>
      <c r="R241" s="49"/>
      <c r="S241" s="49"/>
      <c r="T241" s="49"/>
      <c r="U241" s="49"/>
      <c r="V241" s="49"/>
      <c r="W241" s="49"/>
      <c r="X241" s="49"/>
      <c r="Y241" s="49"/>
      <c r="Z241" s="49"/>
      <c r="AA241" s="49"/>
      <c r="AB241" s="49"/>
      <c r="AC241" s="49"/>
      <c r="AD241" s="49"/>
      <c r="AE241" s="49"/>
      <c r="AF241" s="49"/>
      <c r="AG241" s="49"/>
      <c r="AH241" s="49"/>
      <c r="AI241" s="49"/>
      <c r="AJ241" s="49"/>
      <c r="AK241" s="49"/>
      <c r="AL241" s="40">
        <f t="shared" si="18"/>
        <v>0</v>
      </c>
      <c r="AM241" s="37">
        <f t="shared" si="19"/>
        <v>0</v>
      </c>
      <c r="AN241" s="37">
        <f t="shared" si="20"/>
        <v>0</v>
      </c>
      <c r="AO241" s="38" t="e">
        <f t="shared" si="21"/>
        <v>#DIV/0!</v>
      </c>
      <c r="AP241" s="38" t="e">
        <f t="shared" si="22"/>
        <v>#DIV/0!</v>
      </c>
      <c r="AQ241" s="39" t="e">
        <f t="shared" si="23"/>
        <v>#DIV/0!</v>
      </c>
    </row>
    <row r="242" spans="1:43" ht="20.100000000000001" customHeight="1" x14ac:dyDescent="0.25">
      <c r="A242" s="8">
        <v>240</v>
      </c>
      <c r="B242" s="48"/>
      <c r="C242" s="48"/>
      <c r="D242" s="48"/>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0">
        <f t="shared" si="18"/>
        <v>0</v>
      </c>
      <c r="AM242" s="37">
        <f t="shared" si="19"/>
        <v>0</v>
      </c>
      <c r="AN242" s="37">
        <f t="shared" si="20"/>
        <v>0</v>
      </c>
      <c r="AO242" s="38" t="e">
        <f t="shared" si="21"/>
        <v>#DIV/0!</v>
      </c>
      <c r="AP242" s="38" t="e">
        <f t="shared" si="22"/>
        <v>#DIV/0!</v>
      </c>
      <c r="AQ242" s="39" t="e">
        <f t="shared" si="23"/>
        <v>#DIV/0!</v>
      </c>
    </row>
    <row r="243" spans="1:43" ht="20.100000000000001" customHeight="1" x14ac:dyDescent="0.25">
      <c r="A243" s="8">
        <v>241</v>
      </c>
      <c r="B243" s="48"/>
      <c r="C243" s="48"/>
      <c r="D243" s="48"/>
      <c r="E243" s="49"/>
      <c r="F243" s="49"/>
      <c r="G243" s="49"/>
      <c r="H243" s="49"/>
      <c r="I243" s="49"/>
      <c r="J243" s="49"/>
      <c r="K243" s="49"/>
      <c r="L243" s="49"/>
      <c r="M243" s="49"/>
      <c r="N243" s="49"/>
      <c r="O243" s="49"/>
      <c r="P243" s="49"/>
      <c r="Q243" s="49"/>
      <c r="R243" s="49"/>
      <c r="S243" s="49"/>
      <c r="T243" s="49"/>
      <c r="U243" s="49"/>
      <c r="V243" s="49"/>
      <c r="W243" s="49"/>
      <c r="X243" s="49"/>
      <c r="Y243" s="49"/>
      <c r="Z243" s="49"/>
      <c r="AA243" s="49"/>
      <c r="AB243" s="49"/>
      <c r="AC243" s="49"/>
      <c r="AD243" s="49"/>
      <c r="AE243" s="49"/>
      <c r="AF243" s="49"/>
      <c r="AG243" s="49"/>
      <c r="AH243" s="49"/>
      <c r="AI243" s="49"/>
      <c r="AJ243" s="49"/>
      <c r="AK243" s="49"/>
      <c r="AL243" s="40">
        <f t="shared" si="18"/>
        <v>0</v>
      </c>
      <c r="AM243" s="37">
        <f t="shared" si="19"/>
        <v>0</v>
      </c>
      <c r="AN243" s="37">
        <f t="shared" si="20"/>
        <v>0</v>
      </c>
      <c r="AO243" s="38" t="e">
        <f t="shared" si="21"/>
        <v>#DIV/0!</v>
      </c>
      <c r="AP243" s="38" t="e">
        <f t="shared" si="22"/>
        <v>#DIV/0!</v>
      </c>
      <c r="AQ243" s="39" t="e">
        <f t="shared" si="23"/>
        <v>#DIV/0!</v>
      </c>
    </row>
    <row r="244" spans="1:43" ht="20.100000000000001" customHeight="1" x14ac:dyDescent="0.25">
      <c r="A244" s="8">
        <v>242</v>
      </c>
      <c r="B244" s="48"/>
      <c r="C244" s="48"/>
      <c r="D244" s="48"/>
      <c r="E244" s="49"/>
      <c r="F244" s="49"/>
      <c r="G244" s="49"/>
      <c r="H244" s="49"/>
      <c r="I244" s="49"/>
      <c r="J244" s="49"/>
      <c r="K244" s="49"/>
      <c r="L244" s="49"/>
      <c r="M244" s="49"/>
      <c r="N244" s="49"/>
      <c r="O244" s="49"/>
      <c r="P244" s="49"/>
      <c r="Q244" s="49"/>
      <c r="R244" s="49"/>
      <c r="S244" s="49"/>
      <c r="T244" s="49"/>
      <c r="U244" s="49"/>
      <c r="V244" s="49"/>
      <c r="W244" s="49"/>
      <c r="X244" s="49"/>
      <c r="Y244" s="49"/>
      <c r="Z244" s="49"/>
      <c r="AA244" s="49"/>
      <c r="AB244" s="49"/>
      <c r="AC244" s="49"/>
      <c r="AD244" s="49"/>
      <c r="AE244" s="49"/>
      <c r="AF244" s="49"/>
      <c r="AG244" s="49"/>
      <c r="AH244" s="49"/>
      <c r="AI244" s="49"/>
      <c r="AJ244" s="49"/>
      <c r="AK244" s="49"/>
      <c r="AL244" s="40">
        <f t="shared" si="18"/>
        <v>0</v>
      </c>
      <c r="AM244" s="37">
        <f t="shared" si="19"/>
        <v>0</v>
      </c>
      <c r="AN244" s="37">
        <f t="shared" si="20"/>
        <v>0</v>
      </c>
      <c r="AO244" s="38" t="e">
        <f t="shared" si="21"/>
        <v>#DIV/0!</v>
      </c>
      <c r="AP244" s="38" t="e">
        <f t="shared" si="22"/>
        <v>#DIV/0!</v>
      </c>
      <c r="AQ244" s="39" t="e">
        <f t="shared" si="23"/>
        <v>#DIV/0!</v>
      </c>
    </row>
    <row r="245" spans="1:43" ht="20.100000000000001" customHeight="1" x14ac:dyDescent="0.25">
      <c r="A245" s="8">
        <v>243</v>
      </c>
      <c r="B245" s="48"/>
      <c r="C245" s="48"/>
      <c r="D245" s="48"/>
      <c r="E245" s="49"/>
      <c r="F245" s="49"/>
      <c r="G245" s="49"/>
      <c r="H245" s="49"/>
      <c r="I245" s="49"/>
      <c r="J245" s="49"/>
      <c r="K245" s="49"/>
      <c r="L245" s="49"/>
      <c r="M245" s="49"/>
      <c r="N245" s="49"/>
      <c r="O245" s="49"/>
      <c r="P245" s="49"/>
      <c r="Q245" s="49"/>
      <c r="R245" s="49"/>
      <c r="S245" s="49"/>
      <c r="T245" s="49"/>
      <c r="U245" s="49"/>
      <c r="V245" s="49"/>
      <c r="W245" s="49"/>
      <c r="X245" s="49"/>
      <c r="Y245" s="49"/>
      <c r="Z245" s="49"/>
      <c r="AA245" s="49"/>
      <c r="AB245" s="49"/>
      <c r="AC245" s="49"/>
      <c r="AD245" s="49"/>
      <c r="AE245" s="49"/>
      <c r="AF245" s="49"/>
      <c r="AG245" s="49"/>
      <c r="AH245" s="49"/>
      <c r="AI245" s="49"/>
      <c r="AJ245" s="49"/>
      <c r="AK245" s="49"/>
      <c r="AL245" s="40">
        <f t="shared" si="18"/>
        <v>0</v>
      </c>
      <c r="AM245" s="37">
        <f t="shared" si="19"/>
        <v>0</v>
      </c>
      <c r="AN245" s="37">
        <f t="shared" si="20"/>
        <v>0</v>
      </c>
      <c r="AO245" s="38" t="e">
        <f t="shared" si="21"/>
        <v>#DIV/0!</v>
      </c>
      <c r="AP245" s="38" t="e">
        <f t="shared" si="22"/>
        <v>#DIV/0!</v>
      </c>
      <c r="AQ245" s="39" t="e">
        <f t="shared" si="23"/>
        <v>#DIV/0!</v>
      </c>
    </row>
    <row r="246" spans="1:43" ht="20.100000000000001" customHeight="1" x14ac:dyDescent="0.25">
      <c r="A246" s="8">
        <v>244</v>
      </c>
      <c r="B246" s="48"/>
      <c r="C246" s="48"/>
      <c r="D246" s="48"/>
      <c r="E246" s="49"/>
      <c r="F246" s="49"/>
      <c r="G246" s="49"/>
      <c r="H246" s="49"/>
      <c r="I246" s="49"/>
      <c r="J246" s="49"/>
      <c r="K246" s="49"/>
      <c r="L246" s="49"/>
      <c r="M246" s="49"/>
      <c r="N246" s="49"/>
      <c r="O246" s="49"/>
      <c r="P246" s="49"/>
      <c r="Q246" s="49"/>
      <c r="R246" s="49"/>
      <c r="S246" s="49"/>
      <c r="T246" s="49"/>
      <c r="U246" s="49"/>
      <c r="V246" s="49"/>
      <c r="W246" s="49"/>
      <c r="X246" s="49"/>
      <c r="Y246" s="49"/>
      <c r="Z246" s="49"/>
      <c r="AA246" s="49"/>
      <c r="AB246" s="49"/>
      <c r="AC246" s="49"/>
      <c r="AD246" s="49"/>
      <c r="AE246" s="49"/>
      <c r="AF246" s="49"/>
      <c r="AG246" s="49"/>
      <c r="AH246" s="49"/>
      <c r="AI246" s="49"/>
      <c r="AJ246" s="49"/>
      <c r="AK246" s="49"/>
      <c r="AL246" s="40">
        <f t="shared" si="18"/>
        <v>0</v>
      </c>
      <c r="AM246" s="37">
        <f t="shared" si="19"/>
        <v>0</v>
      </c>
      <c r="AN246" s="37">
        <f t="shared" si="20"/>
        <v>0</v>
      </c>
      <c r="AO246" s="38" t="e">
        <f t="shared" si="21"/>
        <v>#DIV/0!</v>
      </c>
      <c r="AP246" s="38" t="e">
        <f t="shared" si="22"/>
        <v>#DIV/0!</v>
      </c>
      <c r="AQ246" s="39" t="e">
        <f t="shared" si="23"/>
        <v>#DIV/0!</v>
      </c>
    </row>
    <row r="247" spans="1:43" ht="20.100000000000001" customHeight="1" x14ac:dyDescent="0.25">
      <c r="A247" s="8">
        <v>245</v>
      </c>
      <c r="B247" s="48"/>
      <c r="C247" s="48"/>
      <c r="D247" s="48"/>
      <c r="E247" s="49"/>
      <c r="F247" s="49"/>
      <c r="G247" s="49"/>
      <c r="H247" s="49"/>
      <c r="I247" s="49"/>
      <c r="J247" s="49"/>
      <c r="K247" s="49"/>
      <c r="L247" s="49"/>
      <c r="M247" s="49"/>
      <c r="N247" s="49"/>
      <c r="O247" s="49"/>
      <c r="P247" s="49"/>
      <c r="Q247" s="49"/>
      <c r="R247" s="49"/>
      <c r="S247" s="49"/>
      <c r="T247" s="49"/>
      <c r="U247" s="49"/>
      <c r="V247" s="49"/>
      <c r="W247" s="49"/>
      <c r="X247" s="49"/>
      <c r="Y247" s="49"/>
      <c r="Z247" s="49"/>
      <c r="AA247" s="49"/>
      <c r="AB247" s="49"/>
      <c r="AC247" s="49"/>
      <c r="AD247" s="49"/>
      <c r="AE247" s="49"/>
      <c r="AF247" s="49"/>
      <c r="AG247" s="49"/>
      <c r="AH247" s="49"/>
      <c r="AI247" s="49"/>
      <c r="AJ247" s="49"/>
      <c r="AK247" s="49"/>
      <c r="AL247" s="40">
        <f t="shared" si="18"/>
        <v>0</v>
      </c>
      <c r="AM247" s="37">
        <f t="shared" si="19"/>
        <v>0</v>
      </c>
      <c r="AN247" s="37">
        <f t="shared" si="20"/>
        <v>0</v>
      </c>
      <c r="AO247" s="38" t="e">
        <f t="shared" si="21"/>
        <v>#DIV/0!</v>
      </c>
      <c r="AP247" s="38" t="e">
        <f t="shared" si="22"/>
        <v>#DIV/0!</v>
      </c>
      <c r="AQ247" s="39" t="e">
        <f t="shared" si="23"/>
        <v>#DIV/0!</v>
      </c>
    </row>
    <row r="248" spans="1:43" ht="20.100000000000001" customHeight="1" x14ac:dyDescent="0.25">
      <c r="A248" s="8">
        <v>246</v>
      </c>
      <c r="B248" s="48"/>
      <c r="C248" s="48"/>
      <c r="D248" s="48"/>
      <c r="E248" s="49"/>
      <c r="F248" s="49"/>
      <c r="G248" s="49"/>
      <c r="H248" s="49"/>
      <c r="I248" s="49"/>
      <c r="J248" s="49"/>
      <c r="K248" s="49"/>
      <c r="L248" s="49"/>
      <c r="M248" s="49"/>
      <c r="N248" s="49"/>
      <c r="O248" s="49"/>
      <c r="P248" s="49"/>
      <c r="Q248" s="49"/>
      <c r="R248" s="49"/>
      <c r="S248" s="49"/>
      <c r="T248" s="49"/>
      <c r="U248" s="49"/>
      <c r="V248" s="49"/>
      <c r="W248" s="49"/>
      <c r="X248" s="49"/>
      <c r="Y248" s="49"/>
      <c r="Z248" s="49"/>
      <c r="AA248" s="49"/>
      <c r="AB248" s="49"/>
      <c r="AC248" s="49"/>
      <c r="AD248" s="49"/>
      <c r="AE248" s="49"/>
      <c r="AF248" s="49"/>
      <c r="AG248" s="49"/>
      <c r="AH248" s="49"/>
      <c r="AI248" s="49"/>
      <c r="AJ248" s="49"/>
      <c r="AK248" s="49"/>
      <c r="AL248" s="40">
        <f t="shared" si="18"/>
        <v>0</v>
      </c>
      <c r="AM248" s="37">
        <f t="shared" si="19"/>
        <v>0</v>
      </c>
      <c r="AN248" s="37">
        <f t="shared" si="20"/>
        <v>0</v>
      </c>
      <c r="AO248" s="38" t="e">
        <f t="shared" si="21"/>
        <v>#DIV/0!</v>
      </c>
      <c r="AP248" s="38" t="e">
        <f t="shared" si="22"/>
        <v>#DIV/0!</v>
      </c>
      <c r="AQ248" s="39" t="e">
        <f t="shared" si="23"/>
        <v>#DIV/0!</v>
      </c>
    </row>
    <row r="249" spans="1:43" ht="20.100000000000001" customHeight="1" x14ac:dyDescent="0.25">
      <c r="A249" s="8">
        <v>247</v>
      </c>
      <c r="B249" s="48"/>
      <c r="C249" s="48"/>
      <c r="D249" s="48"/>
      <c r="E249" s="49"/>
      <c r="F249" s="49"/>
      <c r="G249" s="49"/>
      <c r="H249" s="49"/>
      <c r="I249" s="49"/>
      <c r="J249" s="49"/>
      <c r="K249" s="49"/>
      <c r="L249" s="49"/>
      <c r="M249" s="49"/>
      <c r="N249" s="49"/>
      <c r="O249" s="49"/>
      <c r="P249" s="49"/>
      <c r="Q249" s="49"/>
      <c r="R249" s="49"/>
      <c r="S249" s="49"/>
      <c r="T249" s="49"/>
      <c r="U249" s="49"/>
      <c r="V249" s="49"/>
      <c r="W249" s="49"/>
      <c r="X249" s="49"/>
      <c r="Y249" s="49"/>
      <c r="Z249" s="49"/>
      <c r="AA249" s="49"/>
      <c r="AB249" s="49"/>
      <c r="AC249" s="49"/>
      <c r="AD249" s="49"/>
      <c r="AE249" s="49"/>
      <c r="AF249" s="49"/>
      <c r="AG249" s="49"/>
      <c r="AH249" s="49"/>
      <c r="AI249" s="49"/>
      <c r="AJ249" s="49"/>
      <c r="AK249" s="49"/>
      <c r="AL249" s="40">
        <f t="shared" si="18"/>
        <v>0</v>
      </c>
      <c r="AM249" s="37">
        <f t="shared" si="19"/>
        <v>0</v>
      </c>
      <c r="AN249" s="37">
        <f t="shared" si="20"/>
        <v>0</v>
      </c>
      <c r="AO249" s="38" t="e">
        <f t="shared" si="21"/>
        <v>#DIV/0!</v>
      </c>
      <c r="AP249" s="38" t="e">
        <f t="shared" si="22"/>
        <v>#DIV/0!</v>
      </c>
      <c r="AQ249" s="39" t="e">
        <f t="shared" si="23"/>
        <v>#DIV/0!</v>
      </c>
    </row>
    <row r="250" spans="1:43" ht="20.100000000000001" customHeight="1" x14ac:dyDescent="0.25">
      <c r="A250" s="8">
        <v>248</v>
      </c>
      <c r="B250" s="48"/>
      <c r="C250" s="48"/>
      <c r="D250" s="48"/>
      <c r="E250" s="49"/>
      <c r="F250" s="49"/>
      <c r="G250" s="49"/>
      <c r="H250" s="49"/>
      <c r="I250" s="49"/>
      <c r="J250" s="49"/>
      <c r="K250" s="49"/>
      <c r="L250" s="49"/>
      <c r="M250" s="49"/>
      <c r="N250" s="49"/>
      <c r="O250" s="49"/>
      <c r="P250" s="49"/>
      <c r="Q250" s="49"/>
      <c r="R250" s="49"/>
      <c r="S250" s="49"/>
      <c r="T250" s="49"/>
      <c r="U250" s="49"/>
      <c r="V250" s="49"/>
      <c r="W250" s="49"/>
      <c r="X250" s="49"/>
      <c r="Y250" s="49"/>
      <c r="Z250" s="49"/>
      <c r="AA250" s="49"/>
      <c r="AB250" s="49"/>
      <c r="AC250" s="49"/>
      <c r="AD250" s="49"/>
      <c r="AE250" s="49"/>
      <c r="AF250" s="49"/>
      <c r="AG250" s="49"/>
      <c r="AH250" s="49"/>
      <c r="AI250" s="49"/>
      <c r="AJ250" s="49"/>
      <c r="AK250" s="49"/>
      <c r="AL250" s="40">
        <f t="shared" si="18"/>
        <v>0</v>
      </c>
      <c r="AM250" s="37">
        <f t="shared" si="19"/>
        <v>0</v>
      </c>
      <c r="AN250" s="37">
        <f t="shared" si="20"/>
        <v>0</v>
      </c>
      <c r="AO250" s="38" t="e">
        <f t="shared" si="21"/>
        <v>#DIV/0!</v>
      </c>
      <c r="AP250" s="38" t="e">
        <f t="shared" si="22"/>
        <v>#DIV/0!</v>
      </c>
      <c r="AQ250" s="39" t="e">
        <f t="shared" si="23"/>
        <v>#DIV/0!</v>
      </c>
    </row>
    <row r="251" spans="1:43" ht="20.100000000000001" customHeight="1" x14ac:dyDescent="0.25">
      <c r="A251" s="8">
        <v>249</v>
      </c>
      <c r="B251" s="48"/>
      <c r="C251" s="48"/>
      <c r="D251" s="48"/>
      <c r="E251" s="49"/>
      <c r="F251" s="49"/>
      <c r="G251" s="49"/>
      <c r="H251" s="49"/>
      <c r="I251" s="49"/>
      <c r="J251" s="49"/>
      <c r="K251" s="49"/>
      <c r="L251" s="49"/>
      <c r="M251" s="49"/>
      <c r="N251" s="49"/>
      <c r="O251" s="49"/>
      <c r="P251" s="49"/>
      <c r="Q251" s="49"/>
      <c r="R251" s="49"/>
      <c r="S251" s="49"/>
      <c r="T251" s="49"/>
      <c r="U251" s="49"/>
      <c r="V251" s="49"/>
      <c r="W251" s="49"/>
      <c r="X251" s="49"/>
      <c r="Y251" s="49"/>
      <c r="Z251" s="49"/>
      <c r="AA251" s="49"/>
      <c r="AB251" s="49"/>
      <c r="AC251" s="49"/>
      <c r="AD251" s="49"/>
      <c r="AE251" s="49"/>
      <c r="AF251" s="49"/>
      <c r="AG251" s="49"/>
      <c r="AH251" s="49"/>
      <c r="AI251" s="49"/>
      <c r="AJ251" s="49"/>
      <c r="AK251" s="49"/>
      <c r="AL251" s="40">
        <f t="shared" si="18"/>
        <v>0</v>
      </c>
      <c r="AM251" s="37">
        <f t="shared" si="19"/>
        <v>0</v>
      </c>
      <c r="AN251" s="37">
        <f t="shared" si="20"/>
        <v>0</v>
      </c>
      <c r="AO251" s="38" t="e">
        <f t="shared" si="21"/>
        <v>#DIV/0!</v>
      </c>
      <c r="AP251" s="38" t="e">
        <f t="shared" si="22"/>
        <v>#DIV/0!</v>
      </c>
      <c r="AQ251" s="39" t="e">
        <f t="shared" si="23"/>
        <v>#DIV/0!</v>
      </c>
    </row>
    <row r="252" spans="1:43" ht="20.100000000000001" customHeight="1" x14ac:dyDescent="0.25">
      <c r="A252" s="8">
        <v>250</v>
      </c>
      <c r="B252" s="48"/>
      <c r="C252" s="48"/>
      <c r="D252" s="48"/>
      <c r="E252" s="49"/>
      <c r="F252" s="49"/>
      <c r="G252" s="49"/>
      <c r="H252" s="49"/>
      <c r="I252" s="49"/>
      <c r="J252" s="49"/>
      <c r="K252" s="49"/>
      <c r="L252" s="49"/>
      <c r="M252" s="49"/>
      <c r="N252" s="49"/>
      <c r="O252" s="49"/>
      <c r="P252" s="49"/>
      <c r="Q252" s="49"/>
      <c r="R252" s="49"/>
      <c r="S252" s="49"/>
      <c r="T252" s="49"/>
      <c r="U252" s="49"/>
      <c r="V252" s="49"/>
      <c r="W252" s="49"/>
      <c r="X252" s="49"/>
      <c r="Y252" s="49"/>
      <c r="Z252" s="49"/>
      <c r="AA252" s="49"/>
      <c r="AB252" s="49"/>
      <c r="AC252" s="49"/>
      <c r="AD252" s="49"/>
      <c r="AE252" s="49"/>
      <c r="AF252" s="49"/>
      <c r="AG252" s="49"/>
      <c r="AH252" s="49"/>
      <c r="AI252" s="49"/>
      <c r="AJ252" s="49"/>
      <c r="AK252" s="49"/>
      <c r="AL252" s="40">
        <f t="shared" si="18"/>
        <v>0</v>
      </c>
      <c r="AM252" s="37">
        <f t="shared" si="19"/>
        <v>0</v>
      </c>
      <c r="AN252" s="37">
        <f t="shared" si="20"/>
        <v>0</v>
      </c>
      <c r="AO252" s="38" t="e">
        <f t="shared" si="21"/>
        <v>#DIV/0!</v>
      </c>
      <c r="AP252" s="38" t="e">
        <f t="shared" si="22"/>
        <v>#DIV/0!</v>
      </c>
      <c r="AQ252" s="39" t="e">
        <f t="shared" si="23"/>
        <v>#DIV/0!</v>
      </c>
    </row>
    <row r="253" spans="1:43" ht="20.100000000000001" customHeight="1" x14ac:dyDescent="0.25">
      <c r="A253" s="8">
        <v>251</v>
      </c>
      <c r="B253" s="48"/>
      <c r="C253" s="48"/>
      <c r="D253" s="48"/>
      <c r="E253" s="49"/>
      <c r="F253" s="49"/>
      <c r="G253" s="49"/>
      <c r="H253" s="49"/>
      <c r="I253" s="49"/>
      <c r="J253" s="49"/>
      <c r="K253" s="49"/>
      <c r="L253" s="49"/>
      <c r="M253" s="49"/>
      <c r="N253" s="49"/>
      <c r="O253" s="49"/>
      <c r="P253" s="49"/>
      <c r="Q253" s="49"/>
      <c r="R253" s="49"/>
      <c r="S253" s="49"/>
      <c r="T253" s="49"/>
      <c r="U253" s="49"/>
      <c r="V253" s="49"/>
      <c r="W253" s="49"/>
      <c r="X253" s="49"/>
      <c r="Y253" s="49"/>
      <c r="Z253" s="49"/>
      <c r="AA253" s="49"/>
      <c r="AB253" s="49"/>
      <c r="AC253" s="49"/>
      <c r="AD253" s="49"/>
      <c r="AE253" s="49"/>
      <c r="AF253" s="49"/>
      <c r="AG253" s="49"/>
      <c r="AH253" s="49"/>
      <c r="AI253" s="49"/>
      <c r="AJ253" s="49"/>
      <c r="AK253" s="49"/>
      <c r="AL253" s="40">
        <f t="shared" si="18"/>
        <v>0</v>
      </c>
      <c r="AM253" s="37">
        <f t="shared" si="19"/>
        <v>0</v>
      </c>
      <c r="AN253" s="37">
        <f t="shared" si="20"/>
        <v>0</v>
      </c>
      <c r="AO253" s="38" t="e">
        <f t="shared" si="21"/>
        <v>#DIV/0!</v>
      </c>
      <c r="AP253" s="38" t="e">
        <f t="shared" si="22"/>
        <v>#DIV/0!</v>
      </c>
      <c r="AQ253" s="39" t="e">
        <f t="shared" si="23"/>
        <v>#DIV/0!</v>
      </c>
    </row>
    <row r="254" spans="1:43" ht="20.100000000000001" customHeight="1" x14ac:dyDescent="0.25">
      <c r="A254" s="8">
        <v>252</v>
      </c>
      <c r="B254" s="48"/>
      <c r="C254" s="48"/>
      <c r="D254" s="48"/>
      <c r="E254" s="49"/>
      <c r="F254" s="49"/>
      <c r="G254" s="49"/>
      <c r="H254" s="49"/>
      <c r="I254" s="49"/>
      <c r="J254" s="49"/>
      <c r="K254" s="49"/>
      <c r="L254" s="49"/>
      <c r="M254" s="49"/>
      <c r="N254" s="49"/>
      <c r="O254" s="49"/>
      <c r="P254" s="49"/>
      <c r="Q254" s="49"/>
      <c r="R254" s="49"/>
      <c r="S254" s="49"/>
      <c r="T254" s="49"/>
      <c r="U254" s="49"/>
      <c r="V254" s="49"/>
      <c r="W254" s="49"/>
      <c r="X254" s="49"/>
      <c r="Y254" s="49"/>
      <c r="Z254" s="49"/>
      <c r="AA254" s="49"/>
      <c r="AB254" s="49"/>
      <c r="AC254" s="49"/>
      <c r="AD254" s="49"/>
      <c r="AE254" s="49"/>
      <c r="AF254" s="49"/>
      <c r="AG254" s="49"/>
      <c r="AH254" s="49"/>
      <c r="AI254" s="49"/>
      <c r="AJ254" s="49"/>
      <c r="AK254" s="49"/>
      <c r="AL254" s="40">
        <f t="shared" si="18"/>
        <v>0</v>
      </c>
      <c r="AM254" s="37">
        <f t="shared" si="19"/>
        <v>0</v>
      </c>
      <c r="AN254" s="37">
        <f t="shared" si="20"/>
        <v>0</v>
      </c>
      <c r="AO254" s="38" t="e">
        <f t="shared" si="21"/>
        <v>#DIV/0!</v>
      </c>
      <c r="AP254" s="38" t="e">
        <f t="shared" si="22"/>
        <v>#DIV/0!</v>
      </c>
      <c r="AQ254" s="39" t="e">
        <f t="shared" si="23"/>
        <v>#DIV/0!</v>
      </c>
    </row>
    <row r="255" spans="1:43" ht="20.100000000000001" customHeight="1" x14ac:dyDescent="0.25">
      <c r="A255" s="8">
        <v>253</v>
      </c>
      <c r="B255" s="48"/>
      <c r="C255" s="48"/>
      <c r="D255" s="48"/>
      <c r="E255" s="49"/>
      <c r="F255" s="49"/>
      <c r="G255" s="49"/>
      <c r="H255" s="49"/>
      <c r="I255" s="49"/>
      <c r="J255" s="49"/>
      <c r="K255" s="49"/>
      <c r="L255" s="49"/>
      <c r="M255" s="49"/>
      <c r="N255" s="49"/>
      <c r="O255" s="49"/>
      <c r="P255" s="49"/>
      <c r="Q255" s="49"/>
      <c r="R255" s="49"/>
      <c r="S255" s="49"/>
      <c r="T255" s="49"/>
      <c r="U255" s="49"/>
      <c r="V255" s="49"/>
      <c r="W255" s="49"/>
      <c r="X255" s="49"/>
      <c r="Y255" s="49"/>
      <c r="Z255" s="49"/>
      <c r="AA255" s="49"/>
      <c r="AB255" s="49"/>
      <c r="AC255" s="49"/>
      <c r="AD255" s="49"/>
      <c r="AE255" s="49"/>
      <c r="AF255" s="49"/>
      <c r="AG255" s="49"/>
      <c r="AH255" s="49"/>
      <c r="AI255" s="49"/>
      <c r="AJ255" s="49"/>
      <c r="AK255" s="49"/>
      <c r="AL255" s="40">
        <f t="shared" si="18"/>
        <v>0</v>
      </c>
      <c r="AM255" s="37">
        <f t="shared" si="19"/>
        <v>0</v>
      </c>
      <c r="AN255" s="37">
        <f t="shared" si="20"/>
        <v>0</v>
      </c>
      <c r="AO255" s="38" t="e">
        <f t="shared" si="21"/>
        <v>#DIV/0!</v>
      </c>
      <c r="AP255" s="38" t="e">
        <f t="shared" si="22"/>
        <v>#DIV/0!</v>
      </c>
      <c r="AQ255" s="39" t="e">
        <f t="shared" si="23"/>
        <v>#DIV/0!</v>
      </c>
    </row>
    <row r="256" spans="1:43" ht="20.100000000000001" customHeight="1" x14ac:dyDescent="0.25">
      <c r="A256" s="8">
        <v>254</v>
      </c>
      <c r="B256" s="48"/>
      <c r="C256" s="48"/>
      <c r="D256" s="48"/>
      <c r="E256" s="49"/>
      <c r="F256" s="49"/>
      <c r="G256" s="49"/>
      <c r="H256" s="49"/>
      <c r="I256" s="49"/>
      <c r="J256" s="49"/>
      <c r="K256" s="49"/>
      <c r="L256" s="49"/>
      <c r="M256" s="49"/>
      <c r="N256" s="49"/>
      <c r="O256" s="49"/>
      <c r="P256" s="49"/>
      <c r="Q256" s="49"/>
      <c r="R256" s="49"/>
      <c r="S256" s="49"/>
      <c r="T256" s="49"/>
      <c r="U256" s="49"/>
      <c r="V256" s="49"/>
      <c r="W256" s="49"/>
      <c r="X256" s="49"/>
      <c r="Y256" s="49"/>
      <c r="Z256" s="49"/>
      <c r="AA256" s="49"/>
      <c r="AB256" s="49"/>
      <c r="AC256" s="49"/>
      <c r="AD256" s="49"/>
      <c r="AE256" s="49"/>
      <c r="AF256" s="49"/>
      <c r="AG256" s="49"/>
      <c r="AH256" s="49"/>
      <c r="AI256" s="49"/>
      <c r="AJ256" s="49"/>
      <c r="AK256" s="49"/>
      <c r="AL256" s="40">
        <f t="shared" si="18"/>
        <v>0</v>
      </c>
      <c r="AM256" s="37">
        <f t="shared" si="19"/>
        <v>0</v>
      </c>
      <c r="AN256" s="37">
        <f t="shared" si="20"/>
        <v>0</v>
      </c>
      <c r="AO256" s="38" t="e">
        <f t="shared" si="21"/>
        <v>#DIV/0!</v>
      </c>
      <c r="AP256" s="38" t="e">
        <f t="shared" si="22"/>
        <v>#DIV/0!</v>
      </c>
      <c r="AQ256" s="39" t="e">
        <f t="shared" si="23"/>
        <v>#DIV/0!</v>
      </c>
    </row>
    <row r="257" spans="1:43" ht="20.100000000000001" customHeight="1" x14ac:dyDescent="0.25">
      <c r="A257" s="8">
        <v>255</v>
      </c>
      <c r="B257" s="48"/>
      <c r="C257" s="48"/>
      <c r="D257" s="48"/>
      <c r="E257" s="49"/>
      <c r="F257" s="49"/>
      <c r="G257" s="49"/>
      <c r="H257" s="49"/>
      <c r="I257" s="49"/>
      <c r="J257" s="49"/>
      <c r="K257" s="49"/>
      <c r="L257" s="49"/>
      <c r="M257" s="49"/>
      <c r="N257" s="49"/>
      <c r="O257" s="49"/>
      <c r="P257" s="49"/>
      <c r="Q257" s="49"/>
      <c r="R257" s="49"/>
      <c r="S257" s="49"/>
      <c r="T257" s="49"/>
      <c r="U257" s="49"/>
      <c r="V257" s="49"/>
      <c r="W257" s="49"/>
      <c r="X257" s="49"/>
      <c r="Y257" s="49"/>
      <c r="Z257" s="49"/>
      <c r="AA257" s="49"/>
      <c r="AB257" s="49"/>
      <c r="AC257" s="49"/>
      <c r="AD257" s="49"/>
      <c r="AE257" s="49"/>
      <c r="AF257" s="49"/>
      <c r="AG257" s="49"/>
      <c r="AH257" s="49"/>
      <c r="AI257" s="49"/>
      <c r="AJ257" s="49"/>
      <c r="AK257" s="49"/>
      <c r="AL257" s="40">
        <f t="shared" si="18"/>
        <v>0</v>
      </c>
      <c r="AM257" s="37">
        <f t="shared" si="19"/>
        <v>0</v>
      </c>
      <c r="AN257" s="37">
        <f t="shared" si="20"/>
        <v>0</v>
      </c>
      <c r="AO257" s="38" t="e">
        <f t="shared" si="21"/>
        <v>#DIV/0!</v>
      </c>
      <c r="AP257" s="38" t="e">
        <f t="shared" si="22"/>
        <v>#DIV/0!</v>
      </c>
      <c r="AQ257" s="39" t="e">
        <f t="shared" si="23"/>
        <v>#DIV/0!</v>
      </c>
    </row>
    <row r="258" spans="1:43" ht="20.100000000000001" customHeight="1" x14ac:dyDescent="0.25">
      <c r="A258" s="8">
        <v>256</v>
      </c>
      <c r="B258" s="48"/>
      <c r="C258" s="48"/>
      <c r="D258" s="48"/>
      <c r="E258" s="49"/>
      <c r="F258" s="49"/>
      <c r="G258" s="49"/>
      <c r="H258" s="49"/>
      <c r="I258" s="49"/>
      <c r="J258" s="49"/>
      <c r="K258" s="49"/>
      <c r="L258" s="49"/>
      <c r="M258" s="49"/>
      <c r="N258" s="49"/>
      <c r="O258" s="49"/>
      <c r="P258" s="49"/>
      <c r="Q258" s="49"/>
      <c r="R258" s="49"/>
      <c r="S258" s="49"/>
      <c r="T258" s="49"/>
      <c r="U258" s="49"/>
      <c r="V258" s="49"/>
      <c r="W258" s="49"/>
      <c r="X258" s="49"/>
      <c r="Y258" s="49"/>
      <c r="Z258" s="49"/>
      <c r="AA258" s="49"/>
      <c r="AB258" s="49"/>
      <c r="AC258" s="49"/>
      <c r="AD258" s="49"/>
      <c r="AE258" s="49"/>
      <c r="AF258" s="49"/>
      <c r="AG258" s="49"/>
      <c r="AH258" s="49"/>
      <c r="AI258" s="49"/>
      <c r="AJ258" s="49"/>
      <c r="AK258" s="49"/>
      <c r="AL258" s="40">
        <f t="shared" si="18"/>
        <v>0</v>
      </c>
      <c r="AM258" s="37">
        <f t="shared" si="19"/>
        <v>0</v>
      </c>
      <c r="AN258" s="37">
        <f t="shared" si="20"/>
        <v>0</v>
      </c>
      <c r="AO258" s="38" t="e">
        <f t="shared" si="21"/>
        <v>#DIV/0!</v>
      </c>
      <c r="AP258" s="38" t="e">
        <f t="shared" si="22"/>
        <v>#DIV/0!</v>
      </c>
      <c r="AQ258" s="39" t="e">
        <f t="shared" si="23"/>
        <v>#DIV/0!</v>
      </c>
    </row>
    <row r="259" spans="1:43" ht="20.100000000000001" customHeight="1" x14ac:dyDescent="0.25">
      <c r="A259" s="8">
        <v>257</v>
      </c>
      <c r="B259" s="48"/>
      <c r="C259" s="48"/>
      <c r="D259" s="48"/>
      <c r="E259" s="49"/>
      <c r="F259" s="49"/>
      <c r="G259" s="49"/>
      <c r="H259" s="49"/>
      <c r="I259" s="49"/>
      <c r="J259" s="49"/>
      <c r="K259" s="49"/>
      <c r="L259" s="49"/>
      <c r="M259" s="49"/>
      <c r="N259" s="49"/>
      <c r="O259" s="49"/>
      <c r="P259" s="49"/>
      <c r="Q259" s="49"/>
      <c r="R259" s="49"/>
      <c r="S259" s="49"/>
      <c r="T259" s="49"/>
      <c r="U259" s="49"/>
      <c r="V259" s="49"/>
      <c r="W259" s="49"/>
      <c r="X259" s="49"/>
      <c r="Y259" s="49"/>
      <c r="Z259" s="49"/>
      <c r="AA259" s="49"/>
      <c r="AB259" s="49"/>
      <c r="AC259" s="49"/>
      <c r="AD259" s="49"/>
      <c r="AE259" s="49"/>
      <c r="AF259" s="49"/>
      <c r="AG259" s="49"/>
      <c r="AH259" s="49"/>
      <c r="AI259" s="49"/>
      <c r="AJ259" s="49"/>
      <c r="AK259" s="49"/>
      <c r="AL259" s="40">
        <f t="shared" ref="AL259:AL322" si="24">COUNTIF($H259:$AK259,1)</f>
        <v>0</v>
      </c>
      <c r="AM259" s="37">
        <f t="shared" ref="AM259:AM322" si="25">COUNTIF($H259:$AK259,0)</f>
        <v>0</v>
      </c>
      <c r="AN259" s="37">
        <f t="shared" si="20"/>
        <v>0</v>
      </c>
      <c r="AO259" s="38" t="e">
        <f t="shared" si="21"/>
        <v>#DIV/0!</v>
      </c>
      <c r="AP259" s="38" t="e">
        <f t="shared" si="22"/>
        <v>#DIV/0!</v>
      </c>
      <c r="AQ259" s="39" t="e">
        <f t="shared" si="23"/>
        <v>#DIV/0!</v>
      </c>
    </row>
    <row r="260" spans="1:43" ht="20.100000000000001" customHeight="1" x14ac:dyDescent="0.25">
      <c r="A260" s="8">
        <v>258</v>
      </c>
      <c r="B260" s="48"/>
      <c r="C260" s="48"/>
      <c r="D260" s="48"/>
      <c r="E260" s="49"/>
      <c r="F260" s="49"/>
      <c r="G260" s="49"/>
      <c r="H260" s="49"/>
      <c r="I260" s="49"/>
      <c r="J260" s="49"/>
      <c r="K260" s="49"/>
      <c r="L260" s="49"/>
      <c r="M260" s="49"/>
      <c r="N260" s="49"/>
      <c r="O260" s="49"/>
      <c r="P260" s="49"/>
      <c r="Q260" s="49"/>
      <c r="R260" s="49"/>
      <c r="S260" s="49"/>
      <c r="T260" s="49"/>
      <c r="U260" s="49"/>
      <c r="V260" s="49"/>
      <c r="W260" s="49"/>
      <c r="X260" s="49"/>
      <c r="Y260" s="49"/>
      <c r="Z260" s="49"/>
      <c r="AA260" s="49"/>
      <c r="AB260" s="49"/>
      <c r="AC260" s="49"/>
      <c r="AD260" s="49"/>
      <c r="AE260" s="49"/>
      <c r="AF260" s="49"/>
      <c r="AG260" s="49"/>
      <c r="AH260" s="49"/>
      <c r="AI260" s="49"/>
      <c r="AJ260" s="49"/>
      <c r="AK260" s="49"/>
      <c r="AL260" s="40">
        <f t="shared" si="24"/>
        <v>0</v>
      </c>
      <c r="AM260" s="37">
        <f t="shared" si="25"/>
        <v>0</v>
      </c>
      <c r="AN260" s="37">
        <f t="shared" ref="AN260:AN323" si="26">SUM(AL260:AM260)</f>
        <v>0</v>
      </c>
      <c r="AO260" s="38" t="e">
        <f t="shared" ref="AO260:AO323" si="27">(AL260/AN260)*100</f>
        <v>#DIV/0!</v>
      </c>
      <c r="AP260" s="38" t="e">
        <f t="shared" ref="AP260:AP323" si="28">(AM260/AN260)*100</f>
        <v>#DIV/0!</v>
      </c>
      <c r="AQ260" s="39" t="e">
        <f t="shared" ref="AQ260:AQ323" si="29">SUM(AO260:AP260)</f>
        <v>#DIV/0!</v>
      </c>
    </row>
    <row r="261" spans="1:43" ht="20.100000000000001" customHeight="1" x14ac:dyDescent="0.25">
      <c r="A261" s="8">
        <v>259</v>
      </c>
      <c r="B261" s="48"/>
      <c r="C261" s="48"/>
      <c r="D261" s="48"/>
      <c r="E261" s="49"/>
      <c r="F261" s="49"/>
      <c r="G261" s="49"/>
      <c r="H261" s="49"/>
      <c r="I261" s="49"/>
      <c r="J261" s="49"/>
      <c r="K261" s="49"/>
      <c r="L261" s="49"/>
      <c r="M261" s="49"/>
      <c r="N261" s="49"/>
      <c r="O261" s="49"/>
      <c r="P261" s="49"/>
      <c r="Q261" s="49"/>
      <c r="R261" s="49"/>
      <c r="S261" s="49"/>
      <c r="T261" s="49"/>
      <c r="U261" s="49"/>
      <c r="V261" s="49"/>
      <c r="W261" s="49"/>
      <c r="X261" s="49"/>
      <c r="Y261" s="49"/>
      <c r="Z261" s="49"/>
      <c r="AA261" s="49"/>
      <c r="AB261" s="49"/>
      <c r="AC261" s="49"/>
      <c r="AD261" s="49"/>
      <c r="AE261" s="49"/>
      <c r="AF261" s="49"/>
      <c r="AG261" s="49"/>
      <c r="AH261" s="49"/>
      <c r="AI261" s="49"/>
      <c r="AJ261" s="49"/>
      <c r="AK261" s="49"/>
      <c r="AL261" s="40">
        <f t="shared" si="24"/>
        <v>0</v>
      </c>
      <c r="AM261" s="37">
        <f t="shared" si="25"/>
        <v>0</v>
      </c>
      <c r="AN261" s="37">
        <f t="shared" si="26"/>
        <v>0</v>
      </c>
      <c r="AO261" s="38" t="e">
        <f t="shared" si="27"/>
        <v>#DIV/0!</v>
      </c>
      <c r="AP261" s="38" t="e">
        <f t="shared" si="28"/>
        <v>#DIV/0!</v>
      </c>
      <c r="AQ261" s="39" t="e">
        <f t="shared" si="29"/>
        <v>#DIV/0!</v>
      </c>
    </row>
    <row r="262" spans="1:43" ht="20.100000000000001" customHeight="1" x14ac:dyDescent="0.25">
      <c r="A262" s="8">
        <v>260</v>
      </c>
      <c r="B262" s="48"/>
      <c r="C262" s="48"/>
      <c r="D262" s="48"/>
      <c r="E262" s="49"/>
      <c r="F262" s="49"/>
      <c r="G262" s="49"/>
      <c r="H262" s="49"/>
      <c r="I262" s="49"/>
      <c r="J262" s="49"/>
      <c r="K262" s="49"/>
      <c r="L262" s="49"/>
      <c r="M262" s="49"/>
      <c r="N262" s="49"/>
      <c r="O262" s="49"/>
      <c r="P262" s="49"/>
      <c r="Q262" s="49"/>
      <c r="R262" s="49"/>
      <c r="S262" s="49"/>
      <c r="T262" s="49"/>
      <c r="U262" s="49"/>
      <c r="V262" s="49"/>
      <c r="W262" s="49"/>
      <c r="X262" s="49"/>
      <c r="Y262" s="49"/>
      <c r="Z262" s="49"/>
      <c r="AA262" s="49"/>
      <c r="AB262" s="49"/>
      <c r="AC262" s="49"/>
      <c r="AD262" s="49"/>
      <c r="AE262" s="49"/>
      <c r="AF262" s="49"/>
      <c r="AG262" s="49"/>
      <c r="AH262" s="49"/>
      <c r="AI262" s="49"/>
      <c r="AJ262" s="49"/>
      <c r="AK262" s="49"/>
      <c r="AL262" s="40">
        <f t="shared" si="24"/>
        <v>0</v>
      </c>
      <c r="AM262" s="37">
        <f t="shared" si="25"/>
        <v>0</v>
      </c>
      <c r="AN262" s="37">
        <f t="shared" si="26"/>
        <v>0</v>
      </c>
      <c r="AO262" s="38" t="e">
        <f t="shared" si="27"/>
        <v>#DIV/0!</v>
      </c>
      <c r="AP262" s="38" t="e">
        <f t="shared" si="28"/>
        <v>#DIV/0!</v>
      </c>
      <c r="AQ262" s="39" t="e">
        <f t="shared" si="29"/>
        <v>#DIV/0!</v>
      </c>
    </row>
    <row r="263" spans="1:43" ht="20.100000000000001" customHeight="1" x14ac:dyDescent="0.25">
      <c r="A263" s="8">
        <v>261</v>
      </c>
      <c r="B263" s="48"/>
      <c r="C263" s="48"/>
      <c r="D263" s="48"/>
      <c r="E263" s="49"/>
      <c r="F263" s="49"/>
      <c r="G263" s="49"/>
      <c r="H263" s="49"/>
      <c r="I263" s="49"/>
      <c r="J263" s="49"/>
      <c r="K263" s="49"/>
      <c r="L263" s="49"/>
      <c r="M263" s="49"/>
      <c r="N263" s="49"/>
      <c r="O263" s="49"/>
      <c r="P263" s="49"/>
      <c r="Q263" s="49"/>
      <c r="R263" s="49"/>
      <c r="S263" s="49"/>
      <c r="T263" s="49"/>
      <c r="U263" s="49"/>
      <c r="V263" s="49"/>
      <c r="W263" s="49"/>
      <c r="X263" s="49"/>
      <c r="Y263" s="49"/>
      <c r="Z263" s="49"/>
      <c r="AA263" s="49"/>
      <c r="AB263" s="49"/>
      <c r="AC263" s="49"/>
      <c r="AD263" s="49"/>
      <c r="AE263" s="49"/>
      <c r="AF263" s="49"/>
      <c r="AG263" s="49"/>
      <c r="AH263" s="49"/>
      <c r="AI263" s="49"/>
      <c r="AJ263" s="49"/>
      <c r="AK263" s="49"/>
      <c r="AL263" s="40">
        <f t="shared" si="24"/>
        <v>0</v>
      </c>
      <c r="AM263" s="37">
        <f t="shared" si="25"/>
        <v>0</v>
      </c>
      <c r="AN263" s="37">
        <f t="shared" si="26"/>
        <v>0</v>
      </c>
      <c r="AO263" s="38" t="e">
        <f t="shared" si="27"/>
        <v>#DIV/0!</v>
      </c>
      <c r="AP263" s="38" t="e">
        <f t="shared" si="28"/>
        <v>#DIV/0!</v>
      </c>
      <c r="AQ263" s="39" t="e">
        <f t="shared" si="29"/>
        <v>#DIV/0!</v>
      </c>
    </row>
    <row r="264" spans="1:43" ht="20.100000000000001" customHeight="1" x14ac:dyDescent="0.25">
      <c r="A264" s="8">
        <v>262</v>
      </c>
      <c r="B264" s="48"/>
      <c r="C264" s="48"/>
      <c r="D264" s="48"/>
      <c r="E264" s="49"/>
      <c r="F264" s="49"/>
      <c r="G264" s="49"/>
      <c r="H264" s="49"/>
      <c r="I264" s="49"/>
      <c r="J264" s="49"/>
      <c r="K264" s="49"/>
      <c r="L264" s="49"/>
      <c r="M264" s="49"/>
      <c r="N264" s="49"/>
      <c r="O264" s="49"/>
      <c r="P264" s="49"/>
      <c r="Q264" s="49"/>
      <c r="R264" s="49"/>
      <c r="S264" s="49"/>
      <c r="T264" s="49"/>
      <c r="U264" s="49"/>
      <c r="V264" s="49"/>
      <c r="W264" s="49"/>
      <c r="X264" s="49"/>
      <c r="Y264" s="49"/>
      <c r="Z264" s="49"/>
      <c r="AA264" s="49"/>
      <c r="AB264" s="49"/>
      <c r="AC264" s="49"/>
      <c r="AD264" s="49"/>
      <c r="AE264" s="49"/>
      <c r="AF264" s="49"/>
      <c r="AG264" s="49"/>
      <c r="AH264" s="49"/>
      <c r="AI264" s="49"/>
      <c r="AJ264" s="49"/>
      <c r="AK264" s="49"/>
      <c r="AL264" s="40">
        <f t="shared" si="24"/>
        <v>0</v>
      </c>
      <c r="AM264" s="37">
        <f t="shared" si="25"/>
        <v>0</v>
      </c>
      <c r="AN264" s="37">
        <f t="shared" si="26"/>
        <v>0</v>
      </c>
      <c r="AO264" s="38" t="e">
        <f t="shared" si="27"/>
        <v>#DIV/0!</v>
      </c>
      <c r="AP264" s="38" t="e">
        <f t="shared" si="28"/>
        <v>#DIV/0!</v>
      </c>
      <c r="AQ264" s="39" t="e">
        <f t="shared" si="29"/>
        <v>#DIV/0!</v>
      </c>
    </row>
    <row r="265" spans="1:43" ht="20.100000000000001" customHeight="1" x14ac:dyDescent="0.25">
      <c r="A265" s="8">
        <v>263</v>
      </c>
      <c r="B265" s="48"/>
      <c r="C265" s="48"/>
      <c r="D265" s="48"/>
      <c r="E265" s="49"/>
      <c r="F265" s="49"/>
      <c r="G265" s="49"/>
      <c r="H265" s="49"/>
      <c r="I265" s="49"/>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0">
        <f t="shared" si="24"/>
        <v>0</v>
      </c>
      <c r="AM265" s="37">
        <f t="shared" si="25"/>
        <v>0</v>
      </c>
      <c r="AN265" s="37">
        <f t="shared" si="26"/>
        <v>0</v>
      </c>
      <c r="AO265" s="38" t="e">
        <f t="shared" si="27"/>
        <v>#DIV/0!</v>
      </c>
      <c r="AP265" s="38" t="e">
        <f t="shared" si="28"/>
        <v>#DIV/0!</v>
      </c>
      <c r="AQ265" s="39" t="e">
        <f t="shared" si="29"/>
        <v>#DIV/0!</v>
      </c>
    </row>
    <row r="266" spans="1:43" ht="20.100000000000001" customHeight="1" x14ac:dyDescent="0.25">
      <c r="A266" s="8">
        <v>264</v>
      </c>
      <c r="B266" s="48"/>
      <c r="C266" s="48"/>
      <c r="D266" s="48"/>
      <c r="E266" s="49"/>
      <c r="F266" s="49"/>
      <c r="G266" s="49"/>
      <c r="H266" s="49"/>
      <c r="I266" s="49"/>
      <c r="J266" s="49"/>
      <c r="K266" s="49"/>
      <c r="L266" s="49"/>
      <c r="M266" s="49"/>
      <c r="N266" s="49"/>
      <c r="O266" s="49"/>
      <c r="P266" s="49"/>
      <c r="Q266" s="49"/>
      <c r="R266" s="49"/>
      <c r="S266" s="49"/>
      <c r="T266" s="49"/>
      <c r="U266" s="49"/>
      <c r="V266" s="49"/>
      <c r="W266" s="49"/>
      <c r="X266" s="49"/>
      <c r="Y266" s="49"/>
      <c r="Z266" s="49"/>
      <c r="AA266" s="49"/>
      <c r="AB266" s="49"/>
      <c r="AC266" s="49"/>
      <c r="AD266" s="49"/>
      <c r="AE266" s="49"/>
      <c r="AF266" s="49"/>
      <c r="AG266" s="49"/>
      <c r="AH266" s="49"/>
      <c r="AI266" s="49"/>
      <c r="AJ266" s="49"/>
      <c r="AK266" s="49"/>
      <c r="AL266" s="40">
        <f t="shared" si="24"/>
        <v>0</v>
      </c>
      <c r="AM266" s="37">
        <f t="shared" si="25"/>
        <v>0</v>
      </c>
      <c r="AN266" s="37">
        <f t="shared" si="26"/>
        <v>0</v>
      </c>
      <c r="AO266" s="38" t="e">
        <f t="shared" si="27"/>
        <v>#DIV/0!</v>
      </c>
      <c r="AP266" s="38" t="e">
        <f t="shared" si="28"/>
        <v>#DIV/0!</v>
      </c>
      <c r="AQ266" s="39" t="e">
        <f t="shared" si="29"/>
        <v>#DIV/0!</v>
      </c>
    </row>
    <row r="267" spans="1:43" ht="20.100000000000001" customHeight="1" x14ac:dyDescent="0.25">
      <c r="A267" s="8">
        <v>265</v>
      </c>
      <c r="B267" s="48"/>
      <c r="C267" s="48"/>
      <c r="D267" s="48"/>
      <c r="E267" s="49"/>
      <c r="F267" s="49"/>
      <c r="G267" s="49"/>
      <c r="H267" s="49"/>
      <c r="I267" s="49"/>
      <c r="J267" s="49"/>
      <c r="K267" s="49"/>
      <c r="L267" s="49"/>
      <c r="M267" s="49"/>
      <c r="N267" s="49"/>
      <c r="O267" s="49"/>
      <c r="P267" s="49"/>
      <c r="Q267" s="49"/>
      <c r="R267" s="49"/>
      <c r="S267" s="49"/>
      <c r="T267" s="49"/>
      <c r="U267" s="49"/>
      <c r="V267" s="49"/>
      <c r="W267" s="49"/>
      <c r="X267" s="49"/>
      <c r="Y267" s="49"/>
      <c r="Z267" s="49"/>
      <c r="AA267" s="49"/>
      <c r="AB267" s="49"/>
      <c r="AC267" s="49"/>
      <c r="AD267" s="49"/>
      <c r="AE267" s="49"/>
      <c r="AF267" s="49"/>
      <c r="AG267" s="49"/>
      <c r="AH267" s="49"/>
      <c r="AI267" s="49"/>
      <c r="AJ267" s="49"/>
      <c r="AK267" s="49"/>
      <c r="AL267" s="40">
        <f t="shared" si="24"/>
        <v>0</v>
      </c>
      <c r="AM267" s="37">
        <f t="shared" si="25"/>
        <v>0</v>
      </c>
      <c r="AN267" s="37">
        <f t="shared" si="26"/>
        <v>0</v>
      </c>
      <c r="AO267" s="38" t="e">
        <f t="shared" si="27"/>
        <v>#DIV/0!</v>
      </c>
      <c r="AP267" s="38" t="e">
        <f t="shared" si="28"/>
        <v>#DIV/0!</v>
      </c>
      <c r="AQ267" s="39" t="e">
        <f t="shared" si="29"/>
        <v>#DIV/0!</v>
      </c>
    </row>
    <row r="268" spans="1:43" ht="20.100000000000001" customHeight="1" x14ac:dyDescent="0.25">
      <c r="A268" s="8">
        <v>266</v>
      </c>
      <c r="B268" s="48"/>
      <c r="C268" s="48"/>
      <c r="D268" s="48"/>
      <c r="E268" s="49"/>
      <c r="F268" s="49"/>
      <c r="G268" s="49"/>
      <c r="H268" s="49"/>
      <c r="I268" s="49"/>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0">
        <f t="shared" si="24"/>
        <v>0</v>
      </c>
      <c r="AM268" s="37">
        <f t="shared" si="25"/>
        <v>0</v>
      </c>
      <c r="AN268" s="37">
        <f t="shared" si="26"/>
        <v>0</v>
      </c>
      <c r="AO268" s="38" t="e">
        <f t="shared" si="27"/>
        <v>#DIV/0!</v>
      </c>
      <c r="AP268" s="38" t="e">
        <f t="shared" si="28"/>
        <v>#DIV/0!</v>
      </c>
      <c r="AQ268" s="39" t="e">
        <f t="shared" si="29"/>
        <v>#DIV/0!</v>
      </c>
    </row>
    <row r="269" spans="1:43" ht="20.100000000000001" customHeight="1" x14ac:dyDescent="0.25">
      <c r="A269" s="8">
        <v>267</v>
      </c>
      <c r="B269" s="48"/>
      <c r="C269" s="48"/>
      <c r="D269" s="48"/>
      <c r="E269" s="49"/>
      <c r="F269" s="49"/>
      <c r="G269" s="49"/>
      <c r="H269" s="49"/>
      <c r="I269" s="49"/>
      <c r="J269" s="49"/>
      <c r="K269" s="49"/>
      <c r="L269" s="49"/>
      <c r="M269" s="49"/>
      <c r="N269" s="49"/>
      <c r="O269" s="49"/>
      <c r="P269" s="49"/>
      <c r="Q269" s="49"/>
      <c r="R269" s="49"/>
      <c r="S269" s="49"/>
      <c r="T269" s="49"/>
      <c r="U269" s="49"/>
      <c r="V269" s="49"/>
      <c r="W269" s="49"/>
      <c r="X269" s="49"/>
      <c r="Y269" s="49"/>
      <c r="Z269" s="49"/>
      <c r="AA269" s="49"/>
      <c r="AB269" s="49"/>
      <c r="AC269" s="49"/>
      <c r="AD269" s="49"/>
      <c r="AE269" s="49"/>
      <c r="AF269" s="49"/>
      <c r="AG269" s="49"/>
      <c r="AH269" s="49"/>
      <c r="AI269" s="49"/>
      <c r="AJ269" s="49"/>
      <c r="AK269" s="49"/>
      <c r="AL269" s="40">
        <f t="shared" si="24"/>
        <v>0</v>
      </c>
      <c r="AM269" s="37">
        <f t="shared" si="25"/>
        <v>0</v>
      </c>
      <c r="AN269" s="37">
        <f t="shared" si="26"/>
        <v>0</v>
      </c>
      <c r="AO269" s="38" t="e">
        <f t="shared" si="27"/>
        <v>#DIV/0!</v>
      </c>
      <c r="AP269" s="38" t="e">
        <f t="shared" si="28"/>
        <v>#DIV/0!</v>
      </c>
      <c r="AQ269" s="39" t="e">
        <f t="shared" si="29"/>
        <v>#DIV/0!</v>
      </c>
    </row>
    <row r="270" spans="1:43" ht="20.100000000000001" customHeight="1" x14ac:dyDescent="0.25">
      <c r="A270" s="8">
        <v>268</v>
      </c>
      <c r="B270" s="48"/>
      <c r="C270" s="48"/>
      <c r="D270" s="48"/>
      <c r="E270" s="49"/>
      <c r="F270" s="49"/>
      <c r="G270" s="49"/>
      <c r="H270" s="49"/>
      <c r="I270" s="49"/>
      <c r="J270" s="49"/>
      <c r="K270" s="49"/>
      <c r="L270" s="49"/>
      <c r="M270" s="49"/>
      <c r="N270" s="49"/>
      <c r="O270" s="49"/>
      <c r="P270" s="49"/>
      <c r="Q270" s="49"/>
      <c r="R270" s="49"/>
      <c r="S270" s="49"/>
      <c r="T270" s="49"/>
      <c r="U270" s="49"/>
      <c r="V270" s="49"/>
      <c r="W270" s="49"/>
      <c r="X270" s="49"/>
      <c r="Y270" s="49"/>
      <c r="Z270" s="49"/>
      <c r="AA270" s="49"/>
      <c r="AB270" s="49"/>
      <c r="AC270" s="49"/>
      <c r="AD270" s="49"/>
      <c r="AE270" s="49"/>
      <c r="AF270" s="49"/>
      <c r="AG270" s="49"/>
      <c r="AH270" s="49"/>
      <c r="AI270" s="49"/>
      <c r="AJ270" s="49"/>
      <c r="AK270" s="49"/>
      <c r="AL270" s="40">
        <f t="shared" si="24"/>
        <v>0</v>
      </c>
      <c r="AM270" s="37">
        <f t="shared" si="25"/>
        <v>0</v>
      </c>
      <c r="AN270" s="37">
        <f t="shared" si="26"/>
        <v>0</v>
      </c>
      <c r="AO270" s="38" t="e">
        <f t="shared" si="27"/>
        <v>#DIV/0!</v>
      </c>
      <c r="AP270" s="38" t="e">
        <f t="shared" si="28"/>
        <v>#DIV/0!</v>
      </c>
      <c r="AQ270" s="39" t="e">
        <f t="shared" si="29"/>
        <v>#DIV/0!</v>
      </c>
    </row>
    <row r="271" spans="1:43" ht="20.100000000000001" customHeight="1" x14ac:dyDescent="0.25">
      <c r="A271" s="8">
        <v>269</v>
      </c>
      <c r="B271" s="48"/>
      <c r="C271" s="48"/>
      <c r="D271" s="48"/>
      <c r="E271" s="49"/>
      <c r="F271" s="49"/>
      <c r="G271" s="49"/>
      <c r="H271" s="49"/>
      <c r="I271" s="49"/>
      <c r="J271" s="49"/>
      <c r="K271" s="49"/>
      <c r="L271" s="49"/>
      <c r="M271" s="49"/>
      <c r="N271" s="49"/>
      <c r="O271" s="49"/>
      <c r="P271" s="49"/>
      <c r="Q271" s="49"/>
      <c r="R271" s="49"/>
      <c r="S271" s="49"/>
      <c r="T271" s="49"/>
      <c r="U271" s="49"/>
      <c r="V271" s="49"/>
      <c r="W271" s="49"/>
      <c r="X271" s="49"/>
      <c r="Y271" s="49"/>
      <c r="Z271" s="49"/>
      <c r="AA271" s="49"/>
      <c r="AB271" s="49"/>
      <c r="AC271" s="49"/>
      <c r="AD271" s="49"/>
      <c r="AE271" s="49"/>
      <c r="AF271" s="49"/>
      <c r="AG271" s="49"/>
      <c r="AH271" s="49"/>
      <c r="AI271" s="49"/>
      <c r="AJ271" s="49"/>
      <c r="AK271" s="49"/>
      <c r="AL271" s="40">
        <f t="shared" si="24"/>
        <v>0</v>
      </c>
      <c r="AM271" s="37">
        <f t="shared" si="25"/>
        <v>0</v>
      </c>
      <c r="AN271" s="37">
        <f t="shared" si="26"/>
        <v>0</v>
      </c>
      <c r="AO271" s="38" t="e">
        <f t="shared" si="27"/>
        <v>#DIV/0!</v>
      </c>
      <c r="AP271" s="38" t="e">
        <f t="shared" si="28"/>
        <v>#DIV/0!</v>
      </c>
      <c r="AQ271" s="39" t="e">
        <f t="shared" si="29"/>
        <v>#DIV/0!</v>
      </c>
    </row>
    <row r="272" spans="1:43" ht="20.100000000000001" customHeight="1" x14ac:dyDescent="0.25">
      <c r="A272" s="8">
        <v>270</v>
      </c>
      <c r="B272" s="48"/>
      <c r="C272" s="48"/>
      <c r="D272" s="48"/>
      <c r="E272" s="49"/>
      <c r="F272" s="49"/>
      <c r="G272" s="49"/>
      <c r="H272" s="49"/>
      <c r="I272" s="49"/>
      <c r="J272" s="49"/>
      <c r="K272" s="49"/>
      <c r="L272" s="49"/>
      <c r="M272" s="49"/>
      <c r="N272" s="49"/>
      <c r="O272" s="49"/>
      <c r="P272" s="49"/>
      <c r="Q272" s="49"/>
      <c r="R272" s="49"/>
      <c r="S272" s="49"/>
      <c r="T272" s="49"/>
      <c r="U272" s="49"/>
      <c r="V272" s="49"/>
      <c r="W272" s="49"/>
      <c r="X272" s="49"/>
      <c r="Y272" s="49"/>
      <c r="Z272" s="49"/>
      <c r="AA272" s="49"/>
      <c r="AB272" s="49"/>
      <c r="AC272" s="49"/>
      <c r="AD272" s="49"/>
      <c r="AE272" s="49"/>
      <c r="AF272" s="49"/>
      <c r="AG272" s="49"/>
      <c r="AH272" s="49"/>
      <c r="AI272" s="49"/>
      <c r="AJ272" s="49"/>
      <c r="AK272" s="49"/>
      <c r="AL272" s="40">
        <f t="shared" si="24"/>
        <v>0</v>
      </c>
      <c r="AM272" s="37">
        <f t="shared" si="25"/>
        <v>0</v>
      </c>
      <c r="AN272" s="37">
        <f t="shared" si="26"/>
        <v>0</v>
      </c>
      <c r="AO272" s="38" t="e">
        <f t="shared" si="27"/>
        <v>#DIV/0!</v>
      </c>
      <c r="AP272" s="38" t="e">
        <f t="shared" si="28"/>
        <v>#DIV/0!</v>
      </c>
      <c r="AQ272" s="39" t="e">
        <f t="shared" si="29"/>
        <v>#DIV/0!</v>
      </c>
    </row>
    <row r="273" spans="1:43" ht="20.100000000000001" customHeight="1" x14ac:dyDescent="0.25">
      <c r="A273" s="8">
        <v>271</v>
      </c>
      <c r="B273" s="48"/>
      <c r="C273" s="48"/>
      <c r="D273" s="48"/>
      <c r="E273" s="49"/>
      <c r="F273" s="49"/>
      <c r="G273" s="49"/>
      <c r="H273" s="49"/>
      <c r="I273" s="49"/>
      <c r="J273" s="49"/>
      <c r="K273" s="49"/>
      <c r="L273" s="49"/>
      <c r="M273" s="49"/>
      <c r="N273" s="49"/>
      <c r="O273" s="49"/>
      <c r="P273" s="49"/>
      <c r="Q273" s="49"/>
      <c r="R273" s="49"/>
      <c r="S273" s="49"/>
      <c r="T273" s="49"/>
      <c r="U273" s="49"/>
      <c r="V273" s="49"/>
      <c r="W273" s="49"/>
      <c r="X273" s="49"/>
      <c r="Y273" s="49"/>
      <c r="Z273" s="49"/>
      <c r="AA273" s="49"/>
      <c r="AB273" s="49"/>
      <c r="AC273" s="49"/>
      <c r="AD273" s="49"/>
      <c r="AE273" s="49"/>
      <c r="AF273" s="49"/>
      <c r="AG273" s="49"/>
      <c r="AH273" s="49"/>
      <c r="AI273" s="49"/>
      <c r="AJ273" s="49"/>
      <c r="AK273" s="49"/>
      <c r="AL273" s="40">
        <f t="shared" si="24"/>
        <v>0</v>
      </c>
      <c r="AM273" s="37">
        <f t="shared" si="25"/>
        <v>0</v>
      </c>
      <c r="AN273" s="37">
        <f t="shared" si="26"/>
        <v>0</v>
      </c>
      <c r="AO273" s="38" t="e">
        <f t="shared" si="27"/>
        <v>#DIV/0!</v>
      </c>
      <c r="AP273" s="38" t="e">
        <f t="shared" si="28"/>
        <v>#DIV/0!</v>
      </c>
      <c r="AQ273" s="39" t="e">
        <f t="shared" si="29"/>
        <v>#DIV/0!</v>
      </c>
    </row>
    <row r="274" spans="1:43" ht="20.100000000000001" customHeight="1" x14ac:dyDescent="0.25">
      <c r="A274" s="8">
        <v>272</v>
      </c>
      <c r="B274" s="48"/>
      <c r="C274" s="48"/>
      <c r="D274" s="48"/>
      <c r="E274" s="49"/>
      <c r="F274" s="49"/>
      <c r="G274" s="49"/>
      <c r="H274" s="49"/>
      <c r="I274" s="49"/>
      <c r="J274" s="49"/>
      <c r="K274" s="49"/>
      <c r="L274" s="49"/>
      <c r="M274" s="49"/>
      <c r="N274" s="49"/>
      <c r="O274" s="49"/>
      <c r="P274" s="49"/>
      <c r="Q274" s="49"/>
      <c r="R274" s="49"/>
      <c r="S274" s="49"/>
      <c r="T274" s="49"/>
      <c r="U274" s="49"/>
      <c r="V274" s="49"/>
      <c r="W274" s="49"/>
      <c r="X274" s="49"/>
      <c r="Y274" s="49"/>
      <c r="Z274" s="49"/>
      <c r="AA274" s="49"/>
      <c r="AB274" s="49"/>
      <c r="AC274" s="49"/>
      <c r="AD274" s="49"/>
      <c r="AE274" s="49"/>
      <c r="AF274" s="49"/>
      <c r="AG274" s="49"/>
      <c r="AH274" s="49"/>
      <c r="AI274" s="49"/>
      <c r="AJ274" s="49"/>
      <c r="AK274" s="49"/>
      <c r="AL274" s="40">
        <f t="shared" si="24"/>
        <v>0</v>
      </c>
      <c r="AM274" s="37">
        <f t="shared" si="25"/>
        <v>0</v>
      </c>
      <c r="AN274" s="37">
        <f t="shared" si="26"/>
        <v>0</v>
      </c>
      <c r="AO274" s="38" t="e">
        <f t="shared" si="27"/>
        <v>#DIV/0!</v>
      </c>
      <c r="AP274" s="38" t="e">
        <f t="shared" si="28"/>
        <v>#DIV/0!</v>
      </c>
      <c r="AQ274" s="39" t="e">
        <f t="shared" si="29"/>
        <v>#DIV/0!</v>
      </c>
    </row>
    <row r="275" spans="1:43" ht="20.100000000000001" customHeight="1" x14ac:dyDescent="0.25">
      <c r="A275" s="8">
        <v>273</v>
      </c>
      <c r="B275" s="48"/>
      <c r="C275" s="48"/>
      <c r="D275" s="48"/>
      <c r="E275" s="49"/>
      <c r="F275" s="49"/>
      <c r="G275" s="49"/>
      <c r="H275" s="49"/>
      <c r="I275" s="49"/>
      <c r="J275" s="49"/>
      <c r="K275" s="49"/>
      <c r="L275" s="49"/>
      <c r="M275" s="49"/>
      <c r="N275" s="49"/>
      <c r="O275" s="49"/>
      <c r="P275" s="49"/>
      <c r="Q275" s="49"/>
      <c r="R275" s="49"/>
      <c r="S275" s="49"/>
      <c r="T275" s="49"/>
      <c r="U275" s="49"/>
      <c r="V275" s="49"/>
      <c r="W275" s="49"/>
      <c r="X275" s="49"/>
      <c r="Y275" s="49"/>
      <c r="Z275" s="49"/>
      <c r="AA275" s="49"/>
      <c r="AB275" s="49"/>
      <c r="AC275" s="49"/>
      <c r="AD275" s="49"/>
      <c r="AE275" s="49"/>
      <c r="AF275" s="49"/>
      <c r="AG275" s="49"/>
      <c r="AH275" s="49"/>
      <c r="AI275" s="49"/>
      <c r="AJ275" s="49"/>
      <c r="AK275" s="49"/>
      <c r="AL275" s="40">
        <f t="shared" si="24"/>
        <v>0</v>
      </c>
      <c r="AM275" s="37">
        <f t="shared" si="25"/>
        <v>0</v>
      </c>
      <c r="AN275" s="37">
        <f t="shared" si="26"/>
        <v>0</v>
      </c>
      <c r="AO275" s="38" t="e">
        <f t="shared" si="27"/>
        <v>#DIV/0!</v>
      </c>
      <c r="AP275" s="38" t="e">
        <f t="shared" si="28"/>
        <v>#DIV/0!</v>
      </c>
      <c r="AQ275" s="39" t="e">
        <f t="shared" si="29"/>
        <v>#DIV/0!</v>
      </c>
    </row>
    <row r="276" spans="1:43" ht="20.100000000000001" customHeight="1" x14ac:dyDescent="0.25">
      <c r="A276" s="8">
        <v>274</v>
      </c>
      <c r="B276" s="48"/>
      <c r="C276" s="48"/>
      <c r="D276" s="48"/>
      <c r="E276" s="49"/>
      <c r="F276" s="49"/>
      <c r="G276" s="49"/>
      <c r="H276" s="49"/>
      <c r="I276" s="49"/>
      <c r="J276" s="49"/>
      <c r="K276" s="49"/>
      <c r="L276" s="49"/>
      <c r="M276" s="49"/>
      <c r="N276" s="49"/>
      <c r="O276" s="49"/>
      <c r="P276" s="49"/>
      <c r="Q276" s="49"/>
      <c r="R276" s="49"/>
      <c r="S276" s="49"/>
      <c r="T276" s="49"/>
      <c r="U276" s="49"/>
      <c r="V276" s="49"/>
      <c r="W276" s="49"/>
      <c r="X276" s="49"/>
      <c r="Y276" s="49"/>
      <c r="Z276" s="49"/>
      <c r="AA276" s="49"/>
      <c r="AB276" s="49"/>
      <c r="AC276" s="49"/>
      <c r="AD276" s="49"/>
      <c r="AE276" s="49"/>
      <c r="AF276" s="49"/>
      <c r="AG276" s="49"/>
      <c r="AH276" s="49"/>
      <c r="AI276" s="49"/>
      <c r="AJ276" s="49"/>
      <c r="AK276" s="49"/>
      <c r="AL276" s="40">
        <f t="shared" si="24"/>
        <v>0</v>
      </c>
      <c r="AM276" s="37">
        <f t="shared" si="25"/>
        <v>0</v>
      </c>
      <c r="AN276" s="37">
        <f t="shared" si="26"/>
        <v>0</v>
      </c>
      <c r="AO276" s="38" t="e">
        <f t="shared" si="27"/>
        <v>#DIV/0!</v>
      </c>
      <c r="AP276" s="38" t="e">
        <f t="shared" si="28"/>
        <v>#DIV/0!</v>
      </c>
      <c r="AQ276" s="39" t="e">
        <f t="shared" si="29"/>
        <v>#DIV/0!</v>
      </c>
    </row>
    <row r="277" spans="1:43" ht="20.100000000000001" customHeight="1" x14ac:dyDescent="0.25">
      <c r="A277" s="8">
        <v>275</v>
      </c>
      <c r="B277" s="48"/>
      <c r="C277" s="48"/>
      <c r="D277" s="48"/>
      <c r="E277" s="49"/>
      <c r="F277" s="49"/>
      <c r="G277" s="49"/>
      <c r="H277" s="49"/>
      <c r="I277" s="49"/>
      <c r="J277" s="49"/>
      <c r="K277" s="49"/>
      <c r="L277" s="49"/>
      <c r="M277" s="49"/>
      <c r="N277" s="49"/>
      <c r="O277" s="49"/>
      <c r="P277" s="49"/>
      <c r="Q277" s="49"/>
      <c r="R277" s="49"/>
      <c r="S277" s="49"/>
      <c r="T277" s="49"/>
      <c r="U277" s="49"/>
      <c r="V277" s="49"/>
      <c r="W277" s="49"/>
      <c r="X277" s="49"/>
      <c r="Y277" s="49"/>
      <c r="Z277" s="49"/>
      <c r="AA277" s="49"/>
      <c r="AB277" s="49"/>
      <c r="AC277" s="49"/>
      <c r="AD277" s="49"/>
      <c r="AE277" s="49"/>
      <c r="AF277" s="49"/>
      <c r="AG277" s="49"/>
      <c r="AH277" s="49"/>
      <c r="AI277" s="49"/>
      <c r="AJ277" s="49"/>
      <c r="AK277" s="49"/>
      <c r="AL277" s="40">
        <f t="shared" si="24"/>
        <v>0</v>
      </c>
      <c r="AM277" s="37">
        <f t="shared" si="25"/>
        <v>0</v>
      </c>
      <c r="AN277" s="37">
        <f t="shared" si="26"/>
        <v>0</v>
      </c>
      <c r="AO277" s="38" t="e">
        <f t="shared" si="27"/>
        <v>#DIV/0!</v>
      </c>
      <c r="AP277" s="38" t="e">
        <f t="shared" si="28"/>
        <v>#DIV/0!</v>
      </c>
      <c r="AQ277" s="39" t="e">
        <f t="shared" si="29"/>
        <v>#DIV/0!</v>
      </c>
    </row>
    <row r="278" spans="1:43" ht="20.100000000000001" customHeight="1" x14ac:dyDescent="0.25">
      <c r="A278" s="8">
        <v>276</v>
      </c>
      <c r="B278" s="48"/>
      <c r="C278" s="48"/>
      <c r="D278" s="48"/>
      <c r="E278" s="49"/>
      <c r="F278" s="49"/>
      <c r="G278" s="49"/>
      <c r="H278" s="49"/>
      <c r="I278" s="49"/>
      <c r="J278" s="49"/>
      <c r="K278" s="49"/>
      <c r="L278" s="49"/>
      <c r="M278" s="49"/>
      <c r="N278" s="49"/>
      <c r="O278" s="49"/>
      <c r="P278" s="49"/>
      <c r="Q278" s="49"/>
      <c r="R278" s="49"/>
      <c r="S278" s="49"/>
      <c r="T278" s="49"/>
      <c r="U278" s="49"/>
      <c r="V278" s="49"/>
      <c r="W278" s="49"/>
      <c r="X278" s="49"/>
      <c r="Y278" s="49"/>
      <c r="Z278" s="49"/>
      <c r="AA278" s="49"/>
      <c r="AB278" s="49"/>
      <c r="AC278" s="49"/>
      <c r="AD278" s="49"/>
      <c r="AE278" s="49"/>
      <c r="AF278" s="49"/>
      <c r="AG278" s="49"/>
      <c r="AH278" s="49"/>
      <c r="AI278" s="49"/>
      <c r="AJ278" s="49"/>
      <c r="AK278" s="49"/>
      <c r="AL278" s="40">
        <f t="shared" si="24"/>
        <v>0</v>
      </c>
      <c r="AM278" s="37">
        <f t="shared" si="25"/>
        <v>0</v>
      </c>
      <c r="AN278" s="37">
        <f t="shared" si="26"/>
        <v>0</v>
      </c>
      <c r="AO278" s="38" t="e">
        <f t="shared" si="27"/>
        <v>#DIV/0!</v>
      </c>
      <c r="AP278" s="38" t="e">
        <f t="shared" si="28"/>
        <v>#DIV/0!</v>
      </c>
      <c r="AQ278" s="39" t="e">
        <f t="shared" si="29"/>
        <v>#DIV/0!</v>
      </c>
    </row>
    <row r="279" spans="1:43" ht="20.100000000000001" customHeight="1" x14ac:dyDescent="0.25">
      <c r="A279" s="8">
        <v>277</v>
      </c>
      <c r="B279" s="48"/>
      <c r="C279" s="48"/>
      <c r="D279" s="48"/>
      <c r="E279" s="49"/>
      <c r="F279" s="49"/>
      <c r="G279" s="49"/>
      <c r="H279" s="49"/>
      <c r="I279" s="49"/>
      <c r="J279" s="49"/>
      <c r="K279" s="49"/>
      <c r="L279" s="49"/>
      <c r="M279" s="49"/>
      <c r="N279" s="49"/>
      <c r="O279" s="49"/>
      <c r="P279" s="49"/>
      <c r="Q279" s="49"/>
      <c r="R279" s="49"/>
      <c r="S279" s="49"/>
      <c r="T279" s="49"/>
      <c r="U279" s="49"/>
      <c r="V279" s="49"/>
      <c r="W279" s="49"/>
      <c r="X279" s="49"/>
      <c r="Y279" s="49"/>
      <c r="Z279" s="49"/>
      <c r="AA279" s="49"/>
      <c r="AB279" s="49"/>
      <c r="AC279" s="49"/>
      <c r="AD279" s="49"/>
      <c r="AE279" s="49"/>
      <c r="AF279" s="49"/>
      <c r="AG279" s="49"/>
      <c r="AH279" s="49"/>
      <c r="AI279" s="49"/>
      <c r="AJ279" s="49"/>
      <c r="AK279" s="49"/>
      <c r="AL279" s="40">
        <f t="shared" si="24"/>
        <v>0</v>
      </c>
      <c r="AM279" s="37">
        <f t="shared" si="25"/>
        <v>0</v>
      </c>
      <c r="AN279" s="37">
        <f t="shared" si="26"/>
        <v>0</v>
      </c>
      <c r="AO279" s="38" t="e">
        <f t="shared" si="27"/>
        <v>#DIV/0!</v>
      </c>
      <c r="AP279" s="38" t="e">
        <f t="shared" si="28"/>
        <v>#DIV/0!</v>
      </c>
      <c r="AQ279" s="39" t="e">
        <f t="shared" si="29"/>
        <v>#DIV/0!</v>
      </c>
    </row>
    <row r="280" spans="1:43" ht="20.100000000000001" customHeight="1" x14ac:dyDescent="0.25">
      <c r="A280" s="8">
        <v>278</v>
      </c>
      <c r="B280" s="48"/>
      <c r="C280" s="48"/>
      <c r="D280" s="48"/>
      <c r="E280" s="49"/>
      <c r="F280" s="49"/>
      <c r="G280" s="49"/>
      <c r="H280" s="49"/>
      <c r="I280" s="49"/>
      <c r="J280" s="49"/>
      <c r="K280" s="49"/>
      <c r="L280" s="49"/>
      <c r="M280" s="49"/>
      <c r="N280" s="49"/>
      <c r="O280" s="49"/>
      <c r="P280" s="49"/>
      <c r="Q280" s="49"/>
      <c r="R280" s="49"/>
      <c r="S280" s="49"/>
      <c r="T280" s="49"/>
      <c r="U280" s="49"/>
      <c r="V280" s="49"/>
      <c r="W280" s="49"/>
      <c r="X280" s="49"/>
      <c r="Y280" s="49"/>
      <c r="Z280" s="49"/>
      <c r="AA280" s="49"/>
      <c r="AB280" s="49"/>
      <c r="AC280" s="49"/>
      <c r="AD280" s="49"/>
      <c r="AE280" s="49"/>
      <c r="AF280" s="49"/>
      <c r="AG280" s="49"/>
      <c r="AH280" s="49"/>
      <c r="AI280" s="49"/>
      <c r="AJ280" s="49"/>
      <c r="AK280" s="49"/>
      <c r="AL280" s="40">
        <f t="shared" si="24"/>
        <v>0</v>
      </c>
      <c r="AM280" s="37">
        <f t="shared" si="25"/>
        <v>0</v>
      </c>
      <c r="AN280" s="37">
        <f t="shared" si="26"/>
        <v>0</v>
      </c>
      <c r="AO280" s="38" t="e">
        <f t="shared" si="27"/>
        <v>#DIV/0!</v>
      </c>
      <c r="AP280" s="38" t="e">
        <f t="shared" si="28"/>
        <v>#DIV/0!</v>
      </c>
      <c r="AQ280" s="39" t="e">
        <f t="shared" si="29"/>
        <v>#DIV/0!</v>
      </c>
    </row>
    <row r="281" spans="1:43" ht="20.100000000000001" customHeight="1" x14ac:dyDescent="0.25">
      <c r="A281" s="8">
        <v>279</v>
      </c>
      <c r="B281" s="48"/>
      <c r="C281" s="48"/>
      <c r="D281" s="48"/>
      <c r="E281" s="49"/>
      <c r="F281" s="49"/>
      <c r="G281" s="49"/>
      <c r="H281" s="49"/>
      <c r="I281" s="49"/>
      <c r="J281" s="49"/>
      <c r="K281" s="49"/>
      <c r="L281" s="49"/>
      <c r="M281" s="49"/>
      <c r="N281" s="49"/>
      <c r="O281" s="49"/>
      <c r="P281" s="49"/>
      <c r="Q281" s="49"/>
      <c r="R281" s="49"/>
      <c r="S281" s="49"/>
      <c r="T281" s="49"/>
      <c r="U281" s="49"/>
      <c r="V281" s="49"/>
      <c r="W281" s="49"/>
      <c r="X281" s="49"/>
      <c r="Y281" s="49"/>
      <c r="Z281" s="49"/>
      <c r="AA281" s="49"/>
      <c r="AB281" s="49"/>
      <c r="AC281" s="49"/>
      <c r="AD281" s="49"/>
      <c r="AE281" s="49"/>
      <c r="AF281" s="49"/>
      <c r="AG281" s="49"/>
      <c r="AH281" s="49"/>
      <c r="AI281" s="49"/>
      <c r="AJ281" s="49"/>
      <c r="AK281" s="49"/>
      <c r="AL281" s="40">
        <f t="shared" si="24"/>
        <v>0</v>
      </c>
      <c r="AM281" s="37">
        <f t="shared" si="25"/>
        <v>0</v>
      </c>
      <c r="AN281" s="37">
        <f t="shared" si="26"/>
        <v>0</v>
      </c>
      <c r="AO281" s="38" t="e">
        <f t="shared" si="27"/>
        <v>#DIV/0!</v>
      </c>
      <c r="AP281" s="38" t="e">
        <f t="shared" si="28"/>
        <v>#DIV/0!</v>
      </c>
      <c r="AQ281" s="39" t="e">
        <f t="shared" si="29"/>
        <v>#DIV/0!</v>
      </c>
    </row>
    <row r="282" spans="1:43" ht="20.100000000000001" customHeight="1" x14ac:dyDescent="0.25">
      <c r="A282" s="8">
        <v>280</v>
      </c>
      <c r="B282" s="48"/>
      <c r="C282" s="48"/>
      <c r="D282" s="48"/>
      <c r="E282" s="49"/>
      <c r="F282" s="49"/>
      <c r="G282" s="49"/>
      <c r="H282" s="49"/>
      <c r="I282" s="49"/>
      <c r="J282" s="49"/>
      <c r="K282" s="49"/>
      <c r="L282" s="49"/>
      <c r="M282" s="49"/>
      <c r="N282" s="49"/>
      <c r="O282" s="49"/>
      <c r="P282" s="49"/>
      <c r="Q282" s="49"/>
      <c r="R282" s="49"/>
      <c r="S282" s="49"/>
      <c r="T282" s="49"/>
      <c r="U282" s="49"/>
      <c r="V282" s="49"/>
      <c r="W282" s="49"/>
      <c r="X282" s="49"/>
      <c r="Y282" s="49"/>
      <c r="Z282" s="49"/>
      <c r="AA282" s="49"/>
      <c r="AB282" s="49"/>
      <c r="AC282" s="49"/>
      <c r="AD282" s="49"/>
      <c r="AE282" s="49"/>
      <c r="AF282" s="49"/>
      <c r="AG282" s="49"/>
      <c r="AH282" s="49"/>
      <c r="AI282" s="49"/>
      <c r="AJ282" s="49"/>
      <c r="AK282" s="49"/>
      <c r="AL282" s="40">
        <f t="shared" si="24"/>
        <v>0</v>
      </c>
      <c r="AM282" s="37">
        <f t="shared" si="25"/>
        <v>0</v>
      </c>
      <c r="AN282" s="37">
        <f t="shared" si="26"/>
        <v>0</v>
      </c>
      <c r="AO282" s="38" t="e">
        <f t="shared" si="27"/>
        <v>#DIV/0!</v>
      </c>
      <c r="AP282" s="38" t="e">
        <f t="shared" si="28"/>
        <v>#DIV/0!</v>
      </c>
      <c r="AQ282" s="39" t="e">
        <f t="shared" si="29"/>
        <v>#DIV/0!</v>
      </c>
    </row>
    <row r="283" spans="1:43" ht="20.100000000000001" customHeight="1" x14ac:dyDescent="0.25">
      <c r="A283" s="8">
        <v>281</v>
      </c>
      <c r="B283" s="48"/>
      <c r="C283" s="48"/>
      <c r="D283" s="48"/>
      <c r="E283" s="49"/>
      <c r="F283" s="49"/>
      <c r="G283" s="49"/>
      <c r="H283" s="49"/>
      <c r="I283" s="49"/>
      <c r="J283" s="49"/>
      <c r="K283" s="49"/>
      <c r="L283" s="49"/>
      <c r="M283" s="49"/>
      <c r="N283" s="49"/>
      <c r="O283" s="49"/>
      <c r="P283" s="49"/>
      <c r="Q283" s="49"/>
      <c r="R283" s="49"/>
      <c r="S283" s="49"/>
      <c r="T283" s="49"/>
      <c r="U283" s="49"/>
      <c r="V283" s="49"/>
      <c r="W283" s="49"/>
      <c r="X283" s="49"/>
      <c r="Y283" s="49"/>
      <c r="Z283" s="49"/>
      <c r="AA283" s="49"/>
      <c r="AB283" s="49"/>
      <c r="AC283" s="49"/>
      <c r="AD283" s="49"/>
      <c r="AE283" s="49"/>
      <c r="AF283" s="49"/>
      <c r="AG283" s="49"/>
      <c r="AH283" s="49"/>
      <c r="AI283" s="49"/>
      <c r="AJ283" s="49"/>
      <c r="AK283" s="49"/>
      <c r="AL283" s="40">
        <f t="shared" si="24"/>
        <v>0</v>
      </c>
      <c r="AM283" s="37">
        <f t="shared" si="25"/>
        <v>0</v>
      </c>
      <c r="AN283" s="37">
        <f t="shared" si="26"/>
        <v>0</v>
      </c>
      <c r="AO283" s="38" t="e">
        <f t="shared" si="27"/>
        <v>#DIV/0!</v>
      </c>
      <c r="AP283" s="38" t="e">
        <f t="shared" si="28"/>
        <v>#DIV/0!</v>
      </c>
      <c r="AQ283" s="39" t="e">
        <f t="shared" si="29"/>
        <v>#DIV/0!</v>
      </c>
    </row>
    <row r="284" spans="1:43" ht="20.100000000000001" customHeight="1" x14ac:dyDescent="0.25">
      <c r="A284" s="8">
        <v>282</v>
      </c>
      <c r="B284" s="48"/>
      <c r="C284" s="48"/>
      <c r="D284" s="48"/>
      <c r="E284" s="49"/>
      <c r="F284" s="49"/>
      <c r="G284" s="49"/>
      <c r="H284" s="49"/>
      <c r="I284" s="49"/>
      <c r="J284" s="49"/>
      <c r="K284" s="49"/>
      <c r="L284" s="49"/>
      <c r="M284" s="49"/>
      <c r="N284" s="49"/>
      <c r="O284" s="49"/>
      <c r="P284" s="49"/>
      <c r="Q284" s="49"/>
      <c r="R284" s="49"/>
      <c r="S284" s="49"/>
      <c r="T284" s="49"/>
      <c r="U284" s="49"/>
      <c r="V284" s="49"/>
      <c r="W284" s="49"/>
      <c r="X284" s="49"/>
      <c r="Y284" s="49"/>
      <c r="Z284" s="49"/>
      <c r="AA284" s="49"/>
      <c r="AB284" s="49"/>
      <c r="AC284" s="49"/>
      <c r="AD284" s="49"/>
      <c r="AE284" s="49"/>
      <c r="AF284" s="49"/>
      <c r="AG284" s="49"/>
      <c r="AH284" s="49"/>
      <c r="AI284" s="49"/>
      <c r="AJ284" s="49"/>
      <c r="AK284" s="49"/>
      <c r="AL284" s="40">
        <f t="shared" si="24"/>
        <v>0</v>
      </c>
      <c r="AM284" s="37">
        <f t="shared" si="25"/>
        <v>0</v>
      </c>
      <c r="AN284" s="37">
        <f t="shared" si="26"/>
        <v>0</v>
      </c>
      <c r="AO284" s="38" t="e">
        <f t="shared" si="27"/>
        <v>#DIV/0!</v>
      </c>
      <c r="AP284" s="38" t="e">
        <f t="shared" si="28"/>
        <v>#DIV/0!</v>
      </c>
      <c r="AQ284" s="39" t="e">
        <f t="shared" si="29"/>
        <v>#DIV/0!</v>
      </c>
    </row>
    <row r="285" spans="1:43" ht="20.100000000000001" customHeight="1" x14ac:dyDescent="0.25">
      <c r="A285" s="8">
        <v>283</v>
      </c>
      <c r="B285" s="48"/>
      <c r="C285" s="48"/>
      <c r="D285" s="48"/>
      <c r="E285" s="49"/>
      <c r="F285" s="49"/>
      <c r="G285" s="49"/>
      <c r="H285" s="49"/>
      <c r="I285" s="49"/>
      <c r="J285" s="49"/>
      <c r="K285" s="49"/>
      <c r="L285" s="49"/>
      <c r="M285" s="49"/>
      <c r="N285" s="49"/>
      <c r="O285" s="49"/>
      <c r="P285" s="49"/>
      <c r="Q285" s="49"/>
      <c r="R285" s="49"/>
      <c r="S285" s="49"/>
      <c r="T285" s="49"/>
      <c r="U285" s="49"/>
      <c r="V285" s="49"/>
      <c r="W285" s="49"/>
      <c r="X285" s="49"/>
      <c r="Y285" s="49"/>
      <c r="Z285" s="49"/>
      <c r="AA285" s="49"/>
      <c r="AB285" s="49"/>
      <c r="AC285" s="49"/>
      <c r="AD285" s="49"/>
      <c r="AE285" s="49"/>
      <c r="AF285" s="49"/>
      <c r="AG285" s="49"/>
      <c r="AH285" s="49"/>
      <c r="AI285" s="49"/>
      <c r="AJ285" s="49"/>
      <c r="AK285" s="49"/>
      <c r="AL285" s="40">
        <f t="shared" si="24"/>
        <v>0</v>
      </c>
      <c r="AM285" s="37">
        <f t="shared" si="25"/>
        <v>0</v>
      </c>
      <c r="AN285" s="37">
        <f t="shared" si="26"/>
        <v>0</v>
      </c>
      <c r="AO285" s="38" t="e">
        <f t="shared" si="27"/>
        <v>#DIV/0!</v>
      </c>
      <c r="AP285" s="38" t="e">
        <f t="shared" si="28"/>
        <v>#DIV/0!</v>
      </c>
      <c r="AQ285" s="39" t="e">
        <f t="shared" si="29"/>
        <v>#DIV/0!</v>
      </c>
    </row>
    <row r="286" spans="1:43" ht="20.100000000000001" customHeight="1" x14ac:dyDescent="0.25">
      <c r="A286" s="8">
        <v>284</v>
      </c>
      <c r="B286" s="48"/>
      <c r="C286" s="48"/>
      <c r="D286" s="48"/>
      <c r="E286" s="49"/>
      <c r="F286" s="49"/>
      <c r="G286" s="49"/>
      <c r="H286" s="49"/>
      <c r="I286" s="49"/>
      <c r="J286" s="49"/>
      <c r="K286" s="49"/>
      <c r="L286" s="49"/>
      <c r="M286" s="49"/>
      <c r="N286" s="49"/>
      <c r="O286" s="49"/>
      <c r="P286" s="49"/>
      <c r="Q286" s="49"/>
      <c r="R286" s="49"/>
      <c r="S286" s="49"/>
      <c r="T286" s="49"/>
      <c r="U286" s="49"/>
      <c r="V286" s="49"/>
      <c r="W286" s="49"/>
      <c r="X286" s="49"/>
      <c r="Y286" s="49"/>
      <c r="Z286" s="49"/>
      <c r="AA286" s="49"/>
      <c r="AB286" s="49"/>
      <c r="AC286" s="49"/>
      <c r="AD286" s="49"/>
      <c r="AE286" s="49"/>
      <c r="AF286" s="49"/>
      <c r="AG286" s="49"/>
      <c r="AH286" s="49"/>
      <c r="AI286" s="49"/>
      <c r="AJ286" s="49"/>
      <c r="AK286" s="49"/>
      <c r="AL286" s="40">
        <f t="shared" si="24"/>
        <v>0</v>
      </c>
      <c r="AM286" s="37">
        <f t="shared" si="25"/>
        <v>0</v>
      </c>
      <c r="AN286" s="37">
        <f t="shared" si="26"/>
        <v>0</v>
      </c>
      <c r="AO286" s="38" t="e">
        <f t="shared" si="27"/>
        <v>#DIV/0!</v>
      </c>
      <c r="AP286" s="38" t="e">
        <f t="shared" si="28"/>
        <v>#DIV/0!</v>
      </c>
      <c r="AQ286" s="39" t="e">
        <f t="shared" si="29"/>
        <v>#DIV/0!</v>
      </c>
    </row>
    <row r="287" spans="1:43" ht="20.100000000000001" customHeight="1" x14ac:dyDescent="0.25">
      <c r="A287" s="8">
        <v>285</v>
      </c>
      <c r="B287" s="48"/>
      <c r="C287" s="48"/>
      <c r="D287" s="48"/>
      <c r="E287" s="49"/>
      <c r="F287" s="49"/>
      <c r="G287" s="49"/>
      <c r="H287" s="49"/>
      <c r="I287" s="49"/>
      <c r="J287" s="49"/>
      <c r="K287" s="49"/>
      <c r="L287" s="49"/>
      <c r="M287" s="49"/>
      <c r="N287" s="49"/>
      <c r="O287" s="49"/>
      <c r="P287" s="49"/>
      <c r="Q287" s="49"/>
      <c r="R287" s="49"/>
      <c r="S287" s="49"/>
      <c r="T287" s="49"/>
      <c r="U287" s="49"/>
      <c r="V287" s="49"/>
      <c r="W287" s="49"/>
      <c r="X287" s="49"/>
      <c r="Y287" s="49"/>
      <c r="Z287" s="49"/>
      <c r="AA287" s="49"/>
      <c r="AB287" s="49"/>
      <c r="AC287" s="49"/>
      <c r="AD287" s="49"/>
      <c r="AE287" s="49"/>
      <c r="AF287" s="49"/>
      <c r="AG287" s="49"/>
      <c r="AH287" s="49"/>
      <c r="AI287" s="49"/>
      <c r="AJ287" s="49"/>
      <c r="AK287" s="49"/>
      <c r="AL287" s="40">
        <f t="shared" si="24"/>
        <v>0</v>
      </c>
      <c r="AM287" s="37">
        <f t="shared" si="25"/>
        <v>0</v>
      </c>
      <c r="AN287" s="37">
        <f t="shared" si="26"/>
        <v>0</v>
      </c>
      <c r="AO287" s="38" t="e">
        <f t="shared" si="27"/>
        <v>#DIV/0!</v>
      </c>
      <c r="AP287" s="38" t="e">
        <f t="shared" si="28"/>
        <v>#DIV/0!</v>
      </c>
      <c r="AQ287" s="39" t="e">
        <f t="shared" si="29"/>
        <v>#DIV/0!</v>
      </c>
    </row>
    <row r="288" spans="1:43" ht="20.100000000000001" customHeight="1" x14ac:dyDescent="0.25">
      <c r="A288" s="8">
        <v>286</v>
      </c>
      <c r="B288" s="48"/>
      <c r="C288" s="48"/>
      <c r="D288" s="48"/>
      <c r="E288" s="49"/>
      <c r="F288" s="49"/>
      <c r="G288" s="49"/>
      <c r="H288" s="49"/>
      <c r="I288" s="49"/>
      <c r="J288" s="49"/>
      <c r="K288" s="49"/>
      <c r="L288" s="49"/>
      <c r="M288" s="49"/>
      <c r="N288" s="49"/>
      <c r="O288" s="49"/>
      <c r="P288" s="49"/>
      <c r="Q288" s="49"/>
      <c r="R288" s="49"/>
      <c r="S288" s="49"/>
      <c r="T288" s="49"/>
      <c r="U288" s="49"/>
      <c r="V288" s="49"/>
      <c r="W288" s="49"/>
      <c r="X288" s="49"/>
      <c r="Y288" s="49"/>
      <c r="Z288" s="49"/>
      <c r="AA288" s="49"/>
      <c r="AB288" s="49"/>
      <c r="AC288" s="49"/>
      <c r="AD288" s="49"/>
      <c r="AE288" s="49"/>
      <c r="AF288" s="49"/>
      <c r="AG288" s="49"/>
      <c r="AH288" s="49"/>
      <c r="AI288" s="49"/>
      <c r="AJ288" s="49"/>
      <c r="AK288" s="49"/>
      <c r="AL288" s="40">
        <f t="shared" si="24"/>
        <v>0</v>
      </c>
      <c r="AM288" s="37">
        <f t="shared" si="25"/>
        <v>0</v>
      </c>
      <c r="AN288" s="37">
        <f t="shared" si="26"/>
        <v>0</v>
      </c>
      <c r="AO288" s="38" t="e">
        <f t="shared" si="27"/>
        <v>#DIV/0!</v>
      </c>
      <c r="AP288" s="38" t="e">
        <f t="shared" si="28"/>
        <v>#DIV/0!</v>
      </c>
      <c r="AQ288" s="39" t="e">
        <f t="shared" si="29"/>
        <v>#DIV/0!</v>
      </c>
    </row>
    <row r="289" spans="1:43" ht="20.100000000000001" customHeight="1" x14ac:dyDescent="0.25">
      <c r="A289" s="8">
        <v>287</v>
      </c>
      <c r="B289" s="48"/>
      <c r="C289" s="48"/>
      <c r="D289" s="48"/>
      <c r="E289" s="49"/>
      <c r="F289" s="49"/>
      <c r="G289" s="49"/>
      <c r="H289" s="49"/>
      <c r="I289" s="49"/>
      <c r="J289" s="49"/>
      <c r="K289" s="49"/>
      <c r="L289" s="49"/>
      <c r="M289" s="49"/>
      <c r="N289" s="49"/>
      <c r="O289" s="49"/>
      <c r="P289" s="49"/>
      <c r="Q289" s="49"/>
      <c r="R289" s="49"/>
      <c r="S289" s="49"/>
      <c r="T289" s="49"/>
      <c r="U289" s="49"/>
      <c r="V289" s="49"/>
      <c r="W289" s="49"/>
      <c r="X289" s="49"/>
      <c r="Y289" s="49"/>
      <c r="Z289" s="49"/>
      <c r="AA289" s="49"/>
      <c r="AB289" s="49"/>
      <c r="AC289" s="49"/>
      <c r="AD289" s="49"/>
      <c r="AE289" s="49"/>
      <c r="AF289" s="49"/>
      <c r="AG289" s="49"/>
      <c r="AH289" s="49"/>
      <c r="AI289" s="49"/>
      <c r="AJ289" s="49"/>
      <c r="AK289" s="49"/>
      <c r="AL289" s="40">
        <f t="shared" si="24"/>
        <v>0</v>
      </c>
      <c r="AM289" s="37">
        <f t="shared" si="25"/>
        <v>0</v>
      </c>
      <c r="AN289" s="37">
        <f t="shared" si="26"/>
        <v>0</v>
      </c>
      <c r="AO289" s="38" t="e">
        <f t="shared" si="27"/>
        <v>#DIV/0!</v>
      </c>
      <c r="AP289" s="38" t="e">
        <f t="shared" si="28"/>
        <v>#DIV/0!</v>
      </c>
      <c r="AQ289" s="39" t="e">
        <f t="shared" si="29"/>
        <v>#DIV/0!</v>
      </c>
    </row>
    <row r="290" spans="1:43" ht="20.100000000000001" customHeight="1" x14ac:dyDescent="0.25">
      <c r="A290" s="8">
        <v>288</v>
      </c>
      <c r="B290" s="48"/>
      <c r="C290" s="48"/>
      <c r="D290" s="48"/>
      <c r="E290" s="49"/>
      <c r="F290" s="49"/>
      <c r="G290" s="49"/>
      <c r="H290" s="49"/>
      <c r="I290" s="49"/>
      <c r="J290" s="49"/>
      <c r="K290" s="49"/>
      <c r="L290" s="49"/>
      <c r="M290" s="49"/>
      <c r="N290" s="49"/>
      <c r="O290" s="49"/>
      <c r="P290" s="49"/>
      <c r="Q290" s="49"/>
      <c r="R290" s="49"/>
      <c r="S290" s="49"/>
      <c r="T290" s="49"/>
      <c r="U290" s="49"/>
      <c r="V290" s="49"/>
      <c r="W290" s="49"/>
      <c r="X290" s="49"/>
      <c r="Y290" s="49"/>
      <c r="Z290" s="49"/>
      <c r="AA290" s="49"/>
      <c r="AB290" s="49"/>
      <c r="AC290" s="49"/>
      <c r="AD290" s="49"/>
      <c r="AE290" s="49"/>
      <c r="AF290" s="49"/>
      <c r="AG290" s="49"/>
      <c r="AH290" s="49"/>
      <c r="AI290" s="49"/>
      <c r="AJ290" s="49"/>
      <c r="AK290" s="49"/>
      <c r="AL290" s="40">
        <f t="shared" si="24"/>
        <v>0</v>
      </c>
      <c r="AM290" s="37">
        <f t="shared" si="25"/>
        <v>0</v>
      </c>
      <c r="AN290" s="37">
        <f t="shared" si="26"/>
        <v>0</v>
      </c>
      <c r="AO290" s="38" t="e">
        <f t="shared" si="27"/>
        <v>#DIV/0!</v>
      </c>
      <c r="AP290" s="38" t="e">
        <f t="shared" si="28"/>
        <v>#DIV/0!</v>
      </c>
      <c r="AQ290" s="39" t="e">
        <f t="shared" si="29"/>
        <v>#DIV/0!</v>
      </c>
    </row>
    <row r="291" spans="1:43" ht="20.100000000000001" customHeight="1" x14ac:dyDescent="0.25">
      <c r="A291" s="8">
        <v>289</v>
      </c>
      <c r="B291" s="48"/>
      <c r="C291" s="48"/>
      <c r="D291" s="48"/>
      <c r="E291" s="49"/>
      <c r="F291" s="49"/>
      <c r="G291" s="49"/>
      <c r="H291" s="49"/>
      <c r="I291" s="49"/>
      <c r="J291" s="49"/>
      <c r="K291" s="49"/>
      <c r="L291" s="49"/>
      <c r="M291" s="49"/>
      <c r="N291" s="49"/>
      <c r="O291" s="49"/>
      <c r="P291" s="49"/>
      <c r="Q291" s="49"/>
      <c r="R291" s="49"/>
      <c r="S291" s="49"/>
      <c r="T291" s="49"/>
      <c r="U291" s="49"/>
      <c r="V291" s="49"/>
      <c r="W291" s="49"/>
      <c r="X291" s="49"/>
      <c r="Y291" s="49"/>
      <c r="Z291" s="49"/>
      <c r="AA291" s="49"/>
      <c r="AB291" s="49"/>
      <c r="AC291" s="49"/>
      <c r="AD291" s="49"/>
      <c r="AE291" s="49"/>
      <c r="AF291" s="49"/>
      <c r="AG291" s="49"/>
      <c r="AH291" s="49"/>
      <c r="AI291" s="49"/>
      <c r="AJ291" s="49"/>
      <c r="AK291" s="49"/>
      <c r="AL291" s="40">
        <f t="shared" si="24"/>
        <v>0</v>
      </c>
      <c r="AM291" s="37">
        <f t="shared" si="25"/>
        <v>0</v>
      </c>
      <c r="AN291" s="37">
        <f t="shared" si="26"/>
        <v>0</v>
      </c>
      <c r="AO291" s="38" t="e">
        <f t="shared" si="27"/>
        <v>#DIV/0!</v>
      </c>
      <c r="AP291" s="38" t="e">
        <f t="shared" si="28"/>
        <v>#DIV/0!</v>
      </c>
      <c r="AQ291" s="39" t="e">
        <f t="shared" si="29"/>
        <v>#DIV/0!</v>
      </c>
    </row>
    <row r="292" spans="1:43" ht="20.100000000000001" customHeight="1" x14ac:dyDescent="0.25">
      <c r="A292" s="8">
        <v>290</v>
      </c>
      <c r="B292" s="48"/>
      <c r="C292" s="48"/>
      <c r="D292" s="48"/>
      <c r="E292" s="49"/>
      <c r="F292" s="49"/>
      <c r="G292" s="49"/>
      <c r="H292" s="49"/>
      <c r="I292" s="49"/>
      <c r="J292" s="49"/>
      <c r="K292" s="49"/>
      <c r="L292" s="49"/>
      <c r="M292" s="49"/>
      <c r="N292" s="49"/>
      <c r="O292" s="49"/>
      <c r="P292" s="49"/>
      <c r="Q292" s="49"/>
      <c r="R292" s="49"/>
      <c r="S292" s="49"/>
      <c r="T292" s="49"/>
      <c r="U292" s="49"/>
      <c r="V292" s="49"/>
      <c r="W292" s="49"/>
      <c r="X292" s="49"/>
      <c r="Y292" s="49"/>
      <c r="Z292" s="49"/>
      <c r="AA292" s="49"/>
      <c r="AB292" s="49"/>
      <c r="AC292" s="49"/>
      <c r="AD292" s="49"/>
      <c r="AE292" s="49"/>
      <c r="AF292" s="49"/>
      <c r="AG292" s="49"/>
      <c r="AH292" s="49"/>
      <c r="AI292" s="49"/>
      <c r="AJ292" s="49"/>
      <c r="AK292" s="49"/>
      <c r="AL292" s="40">
        <f t="shared" si="24"/>
        <v>0</v>
      </c>
      <c r="AM292" s="37">
        <f t="shared" si="25"/>
        <v>0</v>
      </c>
      <c r="AN292" s="37">
        <f t="shared" si="26"/>
        <v>0</v>
      </c>
      <c r="AO292" s="38" t="e">
        <f t="shared" si="27"/>
        <v>#DIV/0!</v>
      </c>
      <c r="AP292" s="38" t="e">
        <f t="shared" si="28"/>
        <v>#DIV/0!</v>
      </c>
      <c r="AQ292" s="39" t="e">
        <f t="shared" si="29"/>
        <v>#DIV/0!</v>
      </c>
    </row>
    <row r="293" spans="1:43" ht="20.100000000000001" customHeight="1" x14ac:dyDescent="0.25">
      <c r="A293" s="8">
        <v>291</v>
      </c>
      <c r="B293" s="48"/>
      <c r="C293" s="48"/>
      <c r="D293" s="48"/>
      <c r="E293" s="49"/>
      <c r="F293" s="49"/>
      <c r="G293" s="49"/>
      <c r="H293" s="49"/>
      <c r="I293" s="49"/>
      <c r="J293" s="49"/>
      <c r="K293" s="49"/>
      <c r="L293" s="49"/>
      <c r="M293" s="49"/>
      <c r="N293" s="49"/>
      <c r="O293" s="49"/>
      <c r="P293" s="49"/>
      <c r="Q293" s="49"/>
      <c r="R293" s="49"/>
      <c r="S293" s="49"/>
      <c r="T293" s="49"/>
      <c r="U293" s="49"/>
      <c r="V293" s="49"/>
      <c r="W293" s="49"/>
      <c r="X293" s="49"/>
      <c r="Y293" s="49"/>
      <c r="Z293" s="49"/>
      <c r="AA293" s="49"/>
      <c r="AB293" s="49"/>
      <c r="AC293" s="49"/>
      <c r="AD293" s="49"/>
      <c r="AE293" s="49"/>
      <c r="AF293" s="49"/>
      <c r="AG293" s="49"/>
      <c r="AH293" s="49"/>
      <c r="AI293" s="49"/>
      <c r="AJ293" s="49"/>
      <c r="AK293" s="49"/>
      <c r="AL293" s="40">
        <f t="shared" si="24"/>
        <v>0</v>
      </c>
      <c r="AM293" s="37">
        <f t="shared" si="25"/>
        <v>0</v>
      </c>
      <c r="AN293" s="37">
        <f t="shared" si="26"/>
        <v>0</v>
      </c>
      <c r="AO293" s="38" t="e">
        <f t="shared" si="27"/>
        <v>#DIV/0!</v>
      </c>
      <c r="AP293" s="38" t="e">
        <f t="shared" si="28"/>
        <v>#DIV/0!</v>
      </c>
      <c r="AQ293" s="39" t="e">
        <f t="shared" si="29"/>
        <v>#DIV/0!</v>
      </c>
    </row>
    <row r="294" spans="1:43" ht="20.100000000000001" customHeight="1" x14ac:dyDescent="0.25">
      <c r="A294" s="8">
        <v>292</v>
      </c>
      <c r="B294" s="48"/>
      <c r="C294" s="48"/>
      <c r="D294" s="48"/>
      <c r="E294" s="49"/>
      <c r="F294" s="49"/>
      <c r="G294" s="49"/>
      <c r="H294" s="49"/>
      <c r="I294" s="49"/>
      <c r="J294" s="49"/>
      <c r="K294" s="49"/>
      <c r="L294" s="49"/>
      <c r="M294" s="49"/>
      <c r="N294" s="49"/>
      <c r="O294" s="49"/>
      <c r="P294" s="49"/>
      <c r="Q294" s="49"/>
      <c r="R294" s="49"/>
      <c r="S294" s="49"/>
      <c r="T294" s="49"/>
      <c r="U294" s="49"/>
      <c r="V294" s="49"/>
      <c r="W294" s="49"/>
      <c r="X294" s="49"/>
      <c r="Y294" s="49"/>
      <c r="Z294" s="49"/>
      <c r="AA294" s="49"/>
      <c r="AB294" s="49"/>
      <c r="AC294" s="49"/>
      <c r="AD294" s="49"/>
      <c r="AE294" s="49"/>
      <c r="AF294" s="49"/>
      <c r="AG294" s="49"/>
      <c r="AH294" s="49"/>
      <c r="AI294" s="49"/>
      <c r="AJ294" s="49"/>
      <c r="AK294" s="49"/>
      <c r="AL294" s="40">
        <f t="shared" si="24"/>
        <v>0</v>
      </c>
      <c r="AM294" s="37">
        <f t="shared" si="25"/>
        <v>0</v>
      </c>
      <c r="AN294" s="37">
        <f t="shared" si="26"/>
        <v>0</v>
      </c>
      <c r="AO294" s="38" t="e">
        <f t="shared" si="27"/>
        <v>#DIV/0!</v>
      </c>
      <c r="AP294" s="38" t="e">
        <f t="shared" si="28"/>
        <v>#DIV/0!</v>
      </c>
      <c r="AQ294" s="39" t="e">
        <f t="shared" si="29"/>
        <v>#DIV/0!</v>
      </c>
    </row>
    <row r="295" spans="1:43" ht="20.100000000000001" customHeight="1" x14ac:dyDescent="0.25">
      <c r="A295" s="8">
        <v>293</v>
      </c>
      <c r="B295" s="48"/>
      <c r="C295" s="48"/>
      <c r="D295" s="48"/>
      <c r="E295" s="49"/>
      <c r="F295" s="49"/>
      <c r="G295" s="49"/>
      <c r="H295" s="49"/>
      <c r="I295" s="49"/>
      <c r="J295" s="49"/>
      <c r="K295" s="49"/>
      <c r="L295" s="49"/>
      <c r="M295" s="49"/>
      <c r="N295" s="49"/>
      <c r="O295" s="49"/>
      <c r="P295" s="49"/>
      <c r="Q295" s="49"/>
      <c r="R295" s="49"/>
      <c r="S295" s="49"/>
      <c r="T295" s="49"/>
      <c r="U295" s="49"/>
      <c r="V295" s="49"/>
      <c r="W295" s="49"/>
      <c r="X295" s="49"/>
      <c r="Y295" s="49"/>
      <c r="Z295" s="49"/>
      <c r="AA295" s="49"/>
      <c r="AB295" s="49"/>
      <c r="AC295" s="49"/>
      <c r="AD295" s="49"/>
      <c r="AE295" s="49"/>
      <c r="AF295" s="49"/>
      <c r="AG295" s="49"/>
      <c r="AH295" s="49"/>
      <c r="AI295" s="49"/>
      <c r="AJ295" s="49"/>
      <c r="AK295" s="49"/>
      <c r="AL295" s="40">
        <f t="shared" si="24"/>
        <v>0</v>
      </c>
      <c r="AM295" s="37">
        <f t="shared" si="25"/>
        <v>0</v>
      </c>
      <c r="AN295" s="37">
        <f t="shared" si="26"/>
        <v>0</v>
      </c>
      <c r="AO295" s="38" t="e">
        <f t="shared" si="27"/>
        <v>#DIV/0!</v>
      </c>
      <c r="AP295" s="38" t="e">
        <f t="shared" si="28"/>
        <v>#DIV/0!</v>
      </c>
      <c r="AQ295" s="39" t="e">
        <f t="shared" si="29"/>
        <v>#DIV/0!</v>
      </c>
    </row>
    <row r="296" spans="1:43" ht="20.100000000000001" customHeight="1" x14ac:dyDescent="0.25">
      <c r="A296" s="8">
        <v>294</v>
      </c>
      <c r="B296" s="48"/>
      <c r="C296" s="48"/>
      <c r="D296" s="48"/>
      <c r="E296" s="49"/>
      <c r="F296" s="49"/>
      <c r="G296" s="49"/>
      <c r="H296" s="49"/>
      <c r="I296" s="49"/>
      <c r="J296" s="49"/>
      <c r="K296" s="49"/>
      <c r="L296" s="49"/>
      <c r="M296" s="49"/>
      <c r="N296" s="49"/>
      <c r="O296" s="49"/>
      <c r="P296" s="49"/>
      <c r="Q296" s="49"/>
      <c r="R296" s="49"/>
      <c r="S296" s="49"/>
      <c r="T296" s="49"/>
      <c r="U296" s="49"/>
      <c r="V296" s="49"/>
      <c r="W296" s="49"/>
      <c r="X296" s="49"/>
      <c r="Y296" s="49"/>
      <c r="Z296" s="49"/>
      <c r="AA296" s="49"/>
      <c r="AB296" s="49"/>
      <c r="AC296" s="49"/>
      <c r="AD296" s="49"/>
      <c r="AE296" s="49"/>
      <c r="AF296" s="49"/>
      <c r="AG296" s="49"/>
      <c r="AH296" s="49"/>
      <c r="AI296" s="49"/>
      <c r="AJ296" s="49"/>
      <c r="AK296" s="49"/>
      <c r="AL296" s="40">
        <f t="shared" si="24"/>
        <v>0</v>
      </c>
      <c r="AM296" s="37">
        <f t="shared" si="25"/>
        <v>0</v>
      </c>
      <c r="AN296" s="37">
        <f t="shared" si="26"/>
        <v>0</v>
      </c>
      <c r="AO296" s="38" t="e">
        <f t="shared" si="27"/>
        <v>#DIV/0!</v>
      </c>
      <c r="AP296" s="38" t="e">
        <f t="shared" si="28"/>
        <v>#DIV/0!</v>
      </c>
      <c r="AQ296" s="39" t="e">
        <f t="shared" si="29"/>
        <v>#DIV/0!</v>
      </c>
    </row>
    <row r="297" spans="1:43" ht="20.100000000000001" customHeight="1" x14ac:dyDescent="0.25">
      <c r="A297" s="8">
        <v>295</v>
      </c>
      <c r="B297" s="48"/>
      <c r="C297" s="48"/>
      <c r="D297" s="48"/>
      <c r="E297" s="49"/>
      <c r="F297" s="49"/>
      <c r="G297" s="49"/>
      <c r="H297" s="49"/>
      <c r="I297" s="49"/>
      <c r="J297" s="49"/>
      <c r="K297" s="49"/>
      <c r="L297" s="49"/>
      <c r="M297" s="49"/>
      <c r="N297" s="49"/>
      <c r="O297" s="49"/>
      <c r="P297" s="49"/>
      <c r="Q297" s="49"/>
      <c r="R297" s="49"/>
      <c r="S297" s="49"/>
      <c r="T297" s="49"/>
      <c r="U297" s="49"/>
      <c r="V297" s="49"/>
      <c r="W297" s="49"/>
      <c r="X297" s="49"/>
      <c r="Y297" s="49"/>
      <c r="Z297" s="49"/>
      <c r="AA297" s="49"/>
      <c r="AB297" s="49"/>
      <c r="AC297" s="49"/>
      <c r="AD297" s="49"/>
      <c r="AE297" s="49"/>
      <c r="AF297" s="49"/>
      <c r="AG297" s="49"/>
      <c r="AH297" s="49"/>
      <c r="AI297" s="49"/>
      <c r="AJ297" s="49"/>
      <c r="AK297" s="49"/>
      <c r="AL297" s="40">
        <f t="shared" si="24"/>
        <v>0</v>
      </c>
      <c r="AM297" s="37">
        <f t="shared" si="25"/>
        <v>0</v>
      </c>
      <c r="AN297" s="37">
        <f t="shared" si="26"/>
        <v>0</v>
      </c>
      <c r="AO297" s="38" t="e">
        <f t="shared" si="27"/>
        <v>#DIV/0!</v>
      </c>
      <c r="AP297" s="38" t="e">
        <f t="shared" si="28"/>
        <v>#DIV/0!</v>
      </c>
      <c r="AQ297" s="39" t="e">
        <f t="shared" si="29"/>
        <v>#DIV/0!</v>
      </c>
    </row>
    <row r="298" spans="1:43" ht="20.100000000000001" customHeight="1" x14ac:dyDescent="0.25">
      <c r="A298" s="8">
        <v>296</v>
      </c>
      <c r="B298" s="48"/>
      <c r="C298" s="48"/>
      <c r="D298" s="48"/>
      <c r="E298" s="49"/>
      <c r="F298" s="49"/>
      <c r="G298" s="49"/>
      <c r="H298" s="49"/>
      <c r="I298" s="49"/>
      <c r="J298" s="49"/>
      <c r="K298" s="49"/>
      <c r="L298" s="49"/>
      <c r="M298" s="49"/>
      <c r="N298" s="49"/>
      <c r="O298" s="49"/>
      <c r="P298" s="49"/>
      <c r="Q298" s="49"/>
      <c r="R298" s="49"/>
      <c r="S298" s="49"/>
      <c r="T298" s="49"/>
      <c r="U298" s="49"/>
      <c r="V298" s="49"/>
      <c r="W298" s="49"/>
      <c r="X298" s="49"/>
      <c r="Y298" s="49"/>
      <c r="Z298" s="49"/>
      <c r="AA298" s="49"/>
      <c r="AB298" s="49"/>
      <c r="AC298" s="49"/>
      <c r="AD298" s="49"/>
      <c r="AE298" s="49"/>
      <c r="AF298" s="49"/>
      <c r="AG298" s="49"/>
      <c r="AH298" s="49"/>
      <c r="AI298" s="49"/>
      <c r="AJ298" s="49"/>
      <c r="AK298" s="49"/>
      <c r="AL298" s="40">
        <f t="shared" si="24"/>
        <v>0</v>
      </c>
      <c r="AM298" s="37">
        <f t="shared" si="25"/>
        <v>0</v>
      </c>
      <c r="AN298" s="37">
        <f t="shared" si="26"/>
        <v>0</v>
      </c>
      <c r="AO298" s="38" t="e">
        <f t="shared" si="27"/>
        <v>#DIV/0!</v>
      </c>
      <c r="AP298" s="38" t="e">
        <f t="shared" si="28"/>
        <v>#DIV/0!</v>
      </c>
      <c r="AQ298" s="39" t="e">
        <f t="shared" si="29"/>
        <v>#DIV/0!</v>
      </c>
    </row>
    <row r="299" spans="1:43" ht="20.100000000000001" customHeight="1" x14ac:dyDescent="0.25">
      <c r="A299" s="8">
        <v>297</v>
      </c>
      <c r="B299" s="48"/>
      <c r="C299" s="48"/>
      <c r="D299" s="48"/>
      <c r="E299" s="49"/>
      <c r="F299" s="49"/>
      <c r="G299" s="49"/>
      <c r="H299" s="49"/>
      <c r="I299" s="49"/>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0">
        <f t="shared" si="24"/>
        <v>0</v>
      </c>
      <c r="AM299" s="37">
        <f t="shared" si="25"/>
        <v>0</v>
      </c>
      <c r="AN299" s="37">
        <f t="shared" si="26"/>
        <v>0</v>
      </c>
      <c r="AO299" s="38" t="e">
        <f t="shared" si="27"/>
        <v>#DIV/0!</v>
      </c>
      <c r="AP299" s="38" t="e">
        <f t="shared" si="28"/>
        <v>#DIV/0!</v>
      </c>
      <c r="AQ299" s="39" t="e">
        <f t="shared" si="29"/>
        <v>#DIV/0!</v>
      </c>
    </row>
    <row r="300" spans="1:43" ht="20.100000000000001" customHeight="1" x14ac:dyDescent="0.25">
      <c r="A300" s="8">
        <v>298</v>
      </c>
      <c r="B300" s="48"/>
      <c r="C300" s="48"/>
      <c r="D300" s="48"/>
      <c r="E300" s="49"/>
      <c r="F300" s="49"/>
      <c r="G300" s="49"/>
      <c r="H300" s="49"/>
      <c r="I300" s="49"/>
      <c r="J300" s="49"/>
      <c r="K300" s="49"/>
      <c r="L300" s="49"/>
      <c r="M300" s="49"/>
      <c r="N300" s="49"/>
      <c r="O300" s="49"/>
      <c r="P300" s="49"/>
      <c r="Q300" s="49"/>
      <c r="R300" s="49"/>
      <c r="S300" s="49"/>
      <c r="T300" s="49"/>
      <c r="U300" s="49"/>
      <c r="V300" s="49"/>
      <c r="W300" s="49"/>
      <c r="X300" s="49"/>
      <c r="Y300" s="49"/>
      <c r="Z300" s="49"/>
      <c r="AA300" s="49"/>
      <c r="AB300" s="49"/>
      <c r="AC300" s="49"/>
      <c r="AD300" s="49"/>
      <c r="AE300" s="49"/>
      <c r="AF300" s="49"/>
      <c r="AG300" s="49"/>
      <c r="AH300" s="49"/>
      <c r="AI300" s="49"/>
      <c r="AJ300" s="49"/>
      <c r="AK300" s="49"/>
      <c r="AL300" s="40">
        <f t="shared" si="24"/>
        <v>0</v>
      </c>
      <c r="AM300" s="37">
        <f t="shared" si="25"/>
        <v>0</v>
      </c>
      <c r="AN300" s="37">
        <f t="shared" si="26"/>
        <v>0</v>
      </c>
      <c r="AO300" s="38" t="e">
        <f t="shared" si="27"/>
        <v>#DIV/0!</v>
      </c>
      <c r="AP300" s="38" t="e">
        <f t="shared" si="28"/>
        <v>#DIV/0!</v>
      </c>
      <c r="AQ300" s="39" t="e">
        <f t="shared" si="29"/>
        <v>#DIV/0!</v>
      </c>
    </row>
    <row r="301" spans="1:43" ht="20.100000000000001" customHeight="1" x14ac:dyDescent="0.25">
      <c r="A301" s="8">
        <v>299</v>
      </c>
      <c r="B301" s="48"/>
      <c r="C301" s="48"/>
      <c r="D301" s="48"/>
      <c r="E301" s="49"/>
      <c r="F301" s="49"/>
      <c r="G301" s="49"/>
      <c r="H301" s="49"/>
      <c r="I301" s="49"/>
      <c r="J301" s="49"/>
      <c r="K301" s="49"/>
      <c r="L301" s="49"/>
      <c r="M301" s="49"/>
      <c r="N301" s="49"/>
      <c r="O301" s="49"/>
      <c r="P301" s="49"/>
      <c r="Q301" s="49"/>
      <c r="R301" s="49"/>
      <c r="S301" s="49"/>
      <c r="T301" s="49"/>
      <c r="U301" s="49"/>
      <c r="V301" s="49"/>
      <c r="W301" s="49"/>
      <c r="X301" s="49"/>
      <c r="Y301" s="49"/>
      <c r="Z301" s="49"/>
      <c r="AA301" s="49"/>
      <c r="AB301" s="49"/>
      <c r="AC301" s="49"/>
      <c r="AD301" s="49"/>
      <c r="AE301" s="49"/>
      <c r="AF301" s="49"/>
      <c r="AG301" s="49"/>
      <c r="AH301" s="49"/>
      <c r="AI301" s="49"/>
      <c r="AJ301" s="49"/>
      <c r="AK301" s="49"/>
      <c r="AL301" s="40">
        <f t="shared" si="24"/>
        <v>0</v>
      </c>
      <c r="AM301" s="37">
        <f t="shared" si="25"/>
        <v>0</v>
      </c>
      <c r="AN301" s="37">
        <f t="shared" si="26"/>
        <v>0</v>
      </c>
      <c r="AO301" s="38" t="e">
        <f t="shared" si="27"/>
        <v>#DIV/0!</v>
      </c>
      <c r="AP301" s="38" t="e">
        <f t="shared" si="28"/>
        <v>#DIV/0!</v>
      </c>
      <c r="AQ301" s="39" t="e">
        <f t="shared" si="29"/>
        <v>#DIV/0!</v>
      </c>
    </row>
    <row r="302" spans="1:43" ht="20.100000000000001" customHeight="1" x14ac:dyDescent="0.25">
      <c r="A302" s="8">
        <v>300</v>
      </c>
      <c r="B302" s="48"/>
      <c r="C302" s="48"/>
      <c r="D302" s="48"/>
      <c r="E302" s="49"/>
      <c r="F302" s="49"/>
      <c r="G302" s="49"/>
      <c r="H302" s="49"/>
      <c r="I302" s="49"/>
      <c r="J302" s="49"/>
      <c r="K302" s="49"/>
      <c r="L302" s="49"/>
      <c r="M302" s="49"/>
      <c r="N302" s="49"/>
      <c r="O302" s="49"/>
      <c r="P302" s="49"/>
      <c r="Q302" s="49"/>
      <c r="R302" s="49"/>
      <c r="S302" s="49"/>
      <c r="T302" s="49"/>
      <c r="U302" s="49"/>
      <c r="V302" s="49"/>
      <c r="W302" s="49"/>
      <c r="X302" s="49"/>
      <c r="Y302" s="49"/>
      <c r="Z302" s="49"/>
      <c r="AA302" s="49"/>
      <c r="AB302" s="49"/>
      <c r="AC302" s="49"/>
      <c r="AD302" s="49"/>
      <c r="AE302" s="49"/>
      <c r="AF302" s="49"/>
      <c r="AG302" s="49"/>
      <c r="AH302" s="49"/>
      <c r="AI302" s="49"/>
      <c r="AJ302" s="49"/>
      <c r="AK302" s="49"/>
      <c r="AL302" s="40">
        <f t="shared" si="24"/>
        <v>0</v>
      </c>
      <c r="AM302" s="37">
        <f t="shared" si="25"/>
        <v>0</v>
      </c>
      <c r="AN302" s="37">
        <f t="shared" si="26"/>
        <v>0</v>
      </c>
      <c r="AO302" s="38" t="e">
        <f t="shared" si="27"/>
        <v>#DIV/0!</v>
      </c>
      <c r="AP302" s="38" t="e">
        <f t="shared" si="28"/>
        <v>#DIV/0!</v>
      </c>
      <c r="AQ302" s="39" t="e">
        <f t="shared" si="29"/>
        <v>#DIV/0!</v>
      </c>
    </row>
    <row r="303" spans="1:43" ht="20.100000000000001" customHeight="1" x14ac:dyDescent="0.25">
      <c r="A303" s="8">
        <v>301</v>
      </c>
      <c r="B303" s="48"/>
      <c r="C303" s="48"/>
      <c r="D303" s="48"/>
      <c r="E303" s="49"/>
      <c r="F303" s="49"/>
      <c r="G303" s="49"/>
      <c r="H303" s="49"/>
      <c r="I303" s="49"/>
      <c r="J303" s="49"/>
      <c r="K303" s="49"/>
      <c r="L303" s="49"/>
      <c r="M303" s="49"/>
      <c r="N303" s="49"/>
      <c r="O303" s="49"/>
      <c r="P303" s="49"/>
      <c r="Q303" s="49"/>
      <c r="R303" s="49"/>
      <c r="S303" s="49"/>
      <c r="T303" s="49"/>
      <c r="U303" s="49"/>
      <c r="V303" s="49"/>
      <c r="W303" s="49"/>
      <c r="X303" s="49"/>
      <c r="Y303" s="49"/>
      <c r="Z303" s="49"/>
      <c r="AA303" s="49"/>
      <c r="AB303" s="49"/>
      <c r="AC303" s="49"/>
      <c r="AD303" s="49"/>
      <c r="AE303" s="49"/>
      <c r="AF303" s="49"/>
      <c r="AG303" s="49"/>
      <c r="AH303" s="49"/>
      <c r="AI303" s="49"/>
      <c r="AJ303" s="49"/>
      <c r="AK303" s="49"/>
      <c r="AL303" s="40">
        <f t="shared" si="24"/>
        <v>0</v>
      </c>
      <c r="AM303" s="37">
        <f t="shared" si="25"/>
        <v>0</v>
      </c>
      <c r="AN303" s="37">
        <f t="shared" si="26"/>
        <v>0</v>
      </c>
      <c r="AO303" s="38" t="e">
        <f t="shared" si="27"/>
        <v>#DIV/0!</v>
      </c>
      <c r="AP303" s="38" t="e">
        <f t="shared" si="28"/>
        <v>#DIV/0!</v>
      </c>
      <c r="AQ303" s="39" t="e">
        <f t="shared" si="29"/>
        <v>#DIV/0!</v>
      </c>
    </row>
    <row r="304" spans="1:43" ht="20.100000000000001" customHeight="1" x14ac:dyDescent="0.25">
      <c r="A304" s="8">
        <v>302</v>
      </c>
      <c r="B304" s="48"/>
      <c r="C304" s="48"/>
      <c r="D304" s="48"/>
      <c r="E304" s="49"/>
      <c r="F304" s="49"/>
      <c r="G304" s="49"/>
      <c r="H304" s="49"/>
      <c r="I304" s="49"/>
      <c r="J304" s="49"/>
      <c r="K304" s="49"/>
      <c r="L304" s="49"/>
      <c r="M304" s="49"/>
      <c r="N304" s="49"/>
      <c r="O304" s="49"/>
      <c r="P304" s="49"/>
      <c r="Q304" s="49"/>
      <c r="R304" s="49"/>
      <c r="S304" s="49"/>
      <c r="T304" s="49"/>
      <c r="U304" s="49"/>
      <c r="V304" s="49"/>
      <c r="W304" s="49"/>
      <c r="X304" s="49"/>
      <c r="Y304" s="49"/>
      <c r="Z304" s="49"/>
      <c r="AA304" s="49"/>
      <c r="AB304" s="49"/>
      <c r="AC304" s="49"/>
      <c r="AD304" s="49"/>
      <c r="AE304" s="49"/>
      <c r="AF304" s="49"/>
      <c r="AG304" s="49"/>
      <c r="AH304" s="49"/>
      <c r="AI304" s="49"/>
      <c r="AJ304" s="49"/>
      <c r="AK304" s="49"/>
      <c r="AL304" s="40">
        <f t="shared" si="24"/>
        <v>0</v>
      </c>
      <c r="AM304" s="37">
        <f t="shared" si="25"/>
        <v>0</v>
      </c>
      <c r="AN304" s="37">
        <f t="shared" si="26"/>
        <v>0</v>
      </c>
      <c r="AO304" s="38" t="e">
        <f t="shared" si="27"/>
        <v>#DIV/0!</v>
      </c>
      <c r="AP304" s="38" t="e">
        <f t="shared" si="28"/>
        <v>#DIV/0!</v>
      </c>
      <c r="AQ304" s="39" t="e">
        <f t="shared" si="29"/>
        <v>#DIV/0!</v>
      </c>
    </row>
    <row r="305" spans="1:43" ht="20.100000000000001" customHeight="1" x14ac:dyDescent="0.25">
      <c r="A305" s="8">
        <v>303</v>
      </c>
      <c r="B305" s="48"/>
      <c r="C305" s="48"/>
      <c r="D305" s="48"/>
      <c r="E305" s="49"/>
      <c r="F305" s="49"/>
      <c r="G305" s="49"/>
      <c r="H305" s="49"/>
      <c r="I305" s="49"/>
      <c r="J305" s="49"/>
      <c r="K305" s="49"/>
      <c r="L305" s="49"/>
      <c r="M305" s="49"/>
      <c r="N305" s="49"/>
      <c r="O305" s="49"/>
      <c r="P305" s="49"/>
      <c r="Q305" s="49"/>
      <c r="R305" s="49"/>
      <c r="S305" s="49"/>
      <c r="T305" s="49"/>
      <c r="U305" s="49"/>
      <c r="V305" s="49"/>
      <c r="W305" s="49"/>
      <c r="X305" s="49"/>
      <c r="Y305" s="49"/>
      <c r="Z305" s="49"/>
      <c r="AA305" s="49"/>
      <c r="AB305" s="49"/>
      <c r="AC305" s="49"/>
      <c r="AD305" s="49"/>
      <c r="AE305" s="49"/>
      <c r="AF305" s="49"/>
      <c r="AG305" s="49"/>
      <c r="AH305" s="49"/>
      <c r="AI305" s="49"/>
      <c r="AJ305" s="49"/>
      <c r="AK305" s="49"/>
      <c r="AL305" s="40">
        <f t="shared" si="24"/>
        <v>0</v>
      </c>
      <c r="AM305" s="37">
        <f t="shared" si="25"/>
        <v>0</v>
      </c>
      <c r="AN305" s="37">
        <f t="shared" si="26"/>
        <v>0</v>
      </c>
      <c r="AO305" s="38" t="e">
        <f t="shared" si="27"/>
        <v>#DIV/0!</v>
      </c>
      <c r="AP305" s="38" t="e">
        <f t="shared" si="28"/>
        <v>#DIV/0!</v>
      </c>
      <c r="AQ305" s="39" t="e">
        <f t="shared" si="29"/>
        <v>#DIV/0!</v>
      </c>
    </row>
    <row r="306" spans="1:43" ht="20.100000000000001" customHeight="1" x14ac:dyDescent="0.25">
      <c r="A306" s="8">
        <v>304</v>
      </c>
      <c r="B306" s="48"/>
      <c r="C306" s="48"/>
      <c r="D306" s="48"/>
      <c r="E306" s="49"/>
      <c r="F306" s="49"/>
      <c r="G306" s="49"/>
      <c r="H306" s="49"/>
      <c r="I306" s="49"/>
      <c r="J306" s="49"/>
      <c r="K306" s="49"/>
      <c r="L306" s="49"/>
      <c r="M306" s="49"/>
      <c r="N306" s="49"/>
      <c r="O306" s="49"/>
      <c r="P306" s="49"/>
      <c r="Q306" s="49"/>
      <c r="R306" s="49"/>
      <c r="S306" s="49"/>
      <c r="T306" s="49"/>
      <c r="U306" s="49"/>
      <c r="V306" s="49"/>
      <c r="W306" s="49"/>
      <c r="X306" s="49"/>
      <c r="Y306" s="49"/>
      <c r="Z306" s="49"/>
      <c r="AA306" s="49"/>
      <c r="AB306" s="49"/>
      <c r="AC306" s="49"/>
      <c r="AD306" s="49"/>
      <c r="AE306" s="49"/>
      <c r="AF306" s="49"/>
      <c r="AG306" s="49"/>
      <c r="AH306" s="49"/>
      <c r="AI306" s="49"/>
      <c r="AJ306" s="49"/>
      <c r="AK306" s="49"/>
      <c r="AL306" s="40">
        <f t="shared" si="24"/>
        <v>0</v>
      </c>
      <c r="AM306" s="37">
        <f t="shared" si="25"/>
        <v>0</v>
      </c>
      <c r="AN306" s="37">
        <f t="shared" si="26"/>
        <v>0</v>
      </c>
      <c r="AO306" s="38" t="e">
        <f t="shared" si="27"/>
        <v>#DIV/0!</v>
      </c>
      <c r="AP306" s="38" t="e">
        <f t="shared" si="28"/>
        <v>#DIV/0!</v>
      </c>
      <c r="AQ306" s="39" t="e">
        <f t="shared" si="29"/>
        <v>#DIV/0!</v>
      </c>
    </row>
    <row r="307" spans="1:43" ht="20.100000000000001" customHeight="1" x14ac:dyDescent="0.25">
      <c r="A307" s="8">
        <v>305</v>
      </c>
      <c r="B307" s="48"/>
      <c r="C307" s="48"/>
      <c r="D307" s="48"/>
      <c r="E307" s="49"/>
      <c r="F307" s="49"/>
      <c r="G307" s="49"/>
      <c r="H307" s="49"/>
      <c r="I307" s="49"/>
      <c r="J307" s="49"/>
      <c r="K307" s="49"/>
      <c r="L307" s="49"/>
      <c r="M307" s="49"/>
      <c r="N307" s="49"/>
      <c r="O307" s="49"/>
      <c r="P307" s="49"/>
      <c r="Q307" s="49"/>
      <c r="R307" s="49"/>
      <c r="S307" s="49"/>
      <c r="T307" s="49"/>
      <c r="U307" s="49"/>
      <c r="V307" s="49"/>
      <c r="W307" s="49"/>
      <c r="X307" s="49"/>
      <c r="Y307" s="49"/>
      <c r="Z307" s="49"/>
      <c r="AA307" s="49"/>
      <c r="AB307" s="49"/>
      <c r="AC307" s="49"/>
      <c r="AD307" s="49"/>
      <c r="AE307" s="49"/>
      <c r="AF307" s="49"/>
      <c r="AG307" s="49"/>
      <c r="AH307" s="49"/>
      <c r="AI307" s="49"/>
      <c r="AJ307" s="49"/>
      <c r="AK307" s="49"/>
      <c r="AL307" s="40">
        <f t="shared" si="24"/>
        <v>0</v>
      </c>
      <c r="AM307" s="37">
        <f t="shared" si="25"/>
        <v>0</v>
      </c>
      <c r="AN307" s="37">
        <f t="shared" si="26"/>
        <v>0</v>
      </c>
      <c r="AO307" s="38" t="e">
        <f t="shared" si="27"/>
        <v>#DIV/0!</v>
      </c>
      <c r="AP307" s="38" t="e">
        <f t="shared" si="28"/>
        <v>#DIV/0!</v>
      </c>
      <c r="AQ307" s="39" t="e">
        <f t="shared" si="29"/>
        <v>#DIV/0!</v>
      </c>
    </row>
    <row r="308" spans="1:43" ht="20.100000000000001" customHeight="1" x14ac:dyDescent="0.25">
      <c r="A308" s="8">
        <v>306</v>
      </c>
      <c r="B308" s="48"/>
      <c r="C308" s="48"/>
      <c r="D308" s="48"/>
      <c r="E308" s="49"/>
      <c r="F308" s="49"/>
      <c r="G308" s="49"/>
      <c r="H308" s="49"/>
      <c r="I308" s="49"/>
      <c r="J308" s="49"/>
      <c r="K308" s="49"/>
      <c r="L308" s="49"/>
      <c r="M308" s="49"/>
      <c r="N308" s="49"/>
      <c r="O308" s="49"/>
      <c r="P308" s="49"/>
      <c r="Q308" s="49"/>
      <c r="R308" s="49"/>
      <c r="S308" s="49"/>
      <c r="T308" s="49"/>
      <c r="U308" s="49"/>
      <c r="V308" s="49"/>
      <c r="W308" s="49"/>
      <c r="X308" s="49"/>
      <c r="Y308" s="49"/>
      <c r="Z308" s="49"/>
      <c r="AA308" s="49"/>
      <c r="AB308" s="49"/>
      <c r="AC308" s="49"/>
      <c r="AD308" s="49"/>
      <c r="AE308" s="49"/>
      <c r="AF308" s="49"/>
      <c r="AG308" s="49"/>
      <c r="AH308" s="49"/>
      <c r="AI308" s="49"/>
      <c r="AJ308" s="49"/>
      <c r="AK308" s="49"/>
      <c r="AL308" s="40">
        <f t="shared" si="24"/>
        <v>0</v>
      </c>
      <c r="AM308" s="37">
        <f t="shared" si="25"/>
        <v>0</v>
      </c>
      <c r="AN308" s="37">
        <f t="shared" si="26"/>
        <v>0</v>
      </c>
      <c r="AO308" s="38" t="e">
        <f t="shared" si="27"/>
        <v>#DIV/0!</v>
      </c>
      <c r="AP308" s="38" t="e">
        <f t="shared" si="28"/>
        <v>#DIV/0!</v>
      </c>
      <c r="AQ308" s="39" t="e">
        <f t="shared" si="29"/>
        <v>#DIV/0!</v>
      </c>
    </row>
    <row r="309" spans="1:43" ht="20.100000000000001" customHeight="1" x14ac:dyDescent="0.25">
      <c r="A309" s="8">
        <v>307</v>
      </c>
      <c r="B309" s="48"/>
      <c r="C309" s="48"/>
      <c r="D309" s="48"/>
      <c r="E309" s="49"/>
      <c r="F309" s="49"/>
      <c r="G309" s="49"/>
      <c r="H309" s="49"/>
      <c r="I309" s="49"/>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0">
        <f t="shared" si="24"/>
        <v>0</v>
      </c>
      <c r="AM309" s="37">
        <f t="shared" si="25"/>
        <v>0</v>
      </c>
      <c r="AN309" s="37">
        <f t="shared" si="26"/>
        <v>0</v>
      </c>
      <c r="AO309" s="38" t="e">
        <f t="shared" si="27"/>
        <v>#DIV/0!</v>
      </c>
      <c r="AP309" s="38" t="e">
        <f t="shared" si="28"/>
        <v>#DIV/0!</v>
      </c>
      <c r="AQ309" s="39" t="e">
        <f t="shared" si="29"/>
        <v>#DIV/0!</v>
      </c>
    </row>
    <row r="310" spans="1:43" ht="20.100000000000001" customHeight="1" x14ac:dyDescent="0.25">
      <c r="A310" s="8">
        <v>308</v>
      </c>
      <c r="B310" s="48"/>
      <c r="C310" s="48"/>
      <c r="D310" s="48"/>
      <c r="E310" s="49"/>
      <c r="F310" s="49"/>
      <c r="G310" s="49"/>
      <c r="H310" s="49"/>
      <c r="I310" s="49"/>
      <c r="J310" s="49"/>
      <c r="K310" s="49"/>
      <c r="L310" s="49"/>
      <c r="M310" s="49"/>
      <c r="N310" s="49"/>
      <c r="O310" s="49"/>
      <c r="P310" s="49"/>
      <c r="Q310" s="49"/>
      <c r="R310" s="49"/>
      <c r="S310" s="49"/>
      <c r="T310" s="49"/>
      <c r="U310" s="49"/>
      <c r="V310" s="49"/>
      <c r="W310" s="49"/>
      <c r="X310" s="49"/>
      <c r="Y310" s="49"/>
      <c r="Z310" s="49"/>
      <c r="AA310" s="49"/>
      <c r="AB310" s="49"/>
      <c r="AC310" s="49"/>
      <c r="AD310" s="49"/>
      <c r="AE310" s="49"/>
      <c r="AF310" s="49"/>
      <c r="AG310" s="49"/>
      <c r="AH310" s="49"/>
      <c r="AI310" s="49"/>
      <c r="AJ310" s="49"/>
      <c r="AK310" s="49"/>
      <c r="AL310" s="40">
        <f t="shared" si="24"/>
        <v>0</v>
      </c>
      <c r="AM310" s="37">
        <f t="shared" si="25"/>
        <v>0</v>
      </c>
      <c r="AN310" s="37">
        <f t="shared" si="26"/>
        <v>0</v>
      </c>
      <c r="AO310" s="38" t="e">
        <f t="shared" si="27"/>
        <v>#DIV/0!</v>
      </c>
      <c r="AP310" s="38" t="e">
        <f t="shared" si="28"/>
        <v>#DIV/0!</v>
      </c>
      <c r="AQ310" s="39" t="e">
        <f t="shared" si="29"/>
        <v>#DIV/0!</v>
      </c>
    </row>
    <row r="311" spans="1:43" ht="20.100000000000001" customHeight="1" x14ac:dyDescent="0.25">
      <c r="A311" s="8">
        <v>309</v>
      </c>
      <c r="B311" s="48"/>
      <c r="C311" s="48"/>
      <c r="D311" s="48"/>
      <c r="E311" s="49"/>
      <c r="F311" s="49"/>
      <c r="G311" s="49"/>
      <c r="H311" s="49"/>
      <c r="I311" s="49"/>
      <c r="J311" s="49"/>
      <c r="K311" s="49"/>
      <c r="L311" s="49"/>
      <c r="M311" s="49"/>
      <c r="N311" s="49"/>
      <c r="O311" s="49"/>
      <c r="P311" s="49"/>
      <c r="Q311" s="49"/>
      <c r="R311" s="49"/>
      <c r="S311" s="49"/>
      <c r="T311" s="49"/>
      <c r="U311" s="49"/>
      <c r="V311" s="49"/>
      <c r="W311" s="49"/>
      <c r="X311" s="49"/>
      <c r="Y311" s="49"/>
      <c r="Z311" s="49"/>
      <c r="AA311" s="49"/>
      <c r="AB311" s="49"/>
      <c r="AC311" s="49"/>
      <c r="AD311" s="49"/>
      <c r="AE311" s="49"/>
      <c r="AF311" s="49"/>
      <c r="AG311" s="49"/>
      <c r="AH311" s="49"/>
      <c r="AI311" s="49"/>
      <c r="AJ311" s="49"/>
      <c r="AK311" s="49"/>
      <c r="AL311" s="40">
        <f t="shared" si="24"/>
        <v>0</v>
      </c>
      <c r="AM311" s="37">
        <f t="shared" si="25"/>
        <v>0</v>
      </c>
      <c r="AN311" s="37">
        <f t="shared" si="26"/>
        <v>0</v>
      </c>
      <c r="AO311" s="38" t="e">
        <f t="shared" si="27"/>
        <v>#DIV/0!</v>
      </c>
      <c r="AP311" s="38" t="e">
        <f t="shared" si="28"/>
        <v>#DIV/0!</v>
      </c>
      <c r="AQ311" s="39" t="e">
        <f t="shared" si="29"/>
        <v>#DIV/0!</v>
      </c>
    </row>
    <row r="312" spans="1:43" ht="20.100000000000001" customHeight="1" x14ac:dyDescent="0.25">
      <c r="A312" s="8">
        <v>310</v>
      </c>
      <c r="B312" s="48"/>
      <c r="C312" s="48"/>
      <c r="D312" s="48"/>
      <c r="E312" s="49"/>
      <c r="F312" s="49"/>
      <c r="G312" s="49"/>
      <c r="H312" s="49"/>
      <c r="I312" s="49"/>
      <c r="J312" s="49"/>
      <c r="K312" s="49"/>
      <c r="L312" s="49"/>
      <c r="M312" s="49"/>
      <c r="N312" s="49"/>
      <c r="O312" s="49"/>
      <c r="P312" s="49"/>
      <c r="Q312" s="49"/>
      <c r="R312" s="49"/>
      <c r="S312" s="49"/>
      <c r="T312" s="49"/>
      <c r="U312" s="49"/>
      <c r="V312" s="49"/>
      <c r="W312" s="49"/>
      <c r="X312" s="49"/>
      <c r="Y312" s="49"/>
      <c r="Z312" s="49"/>
      <c r="AA312" s="49"/>
      <c r="AB312" s="49"/>
      <c r="AC312" s="49"/>
      <c r="AD312" s="49"/>
      <c r="AE312" s="49"/>
      <c r="AF312" s="49"/>
      <c r="AG312" s="49"/>
      <c r="AH312" s="49"/>
      <c r="AI312" s="49"/>
      <c r="AJ312" s="49"/>
      <c r="AK312" s="49"/>
      <c r="AL312" s="40">
        <f t="shared" si="24"/>
        <v>0</v>
      </c>
      <c r="AM312" s="37">
        <f t="shared" si="25"/>
        <v>0</v>
      </c>
      <c r="AN312" s="37">
        <f t="shared" si="26"/>
        <v>0</v>
      </c>
      <c r="AO312" s="38" t="e">
        <f t="shared" si="27"/>
        <v>#DIV/0!</v>
      </c>
      <c r="AP312" s="38" t="e">
        <f t="shared" si="28"/>
        <v>#DIV/0!</v>
      </c>
      <c r="AQ312" s="39" t="e">
        <f t="shared" si="29"/>
        <v>#DIV/0!</v>
      </c>
    </row>
    <row r="313" spans="1:43" ht="20.100000000000001" customHeight="1" x14ac:dyDescent="0.25">
      <c r="A313" s="8">
        <v>311</v>
      </c>
      <c r="B313" s="48"/>
      <c r="C313" s="48"/>
      <c r="D313" s="48"/>
      <c r="E313" s="49"/>
      <c r="F313" s="49"/>
      <c r="G313" s="49"/>
      <c r="H313" s="49"/>
      <c r="I313" s="49"/>
      <c r="J313" s="49"/>
      <c r="K313" s="49"/>
      <c r="L313" s="49"/>
      <c r="M313" s="49"/>
      <c r="N313" s="49"/>
      <c r="O313" s="49"/>
      <c r="P313" s="49"/>
      <c r="Q313" s="49"/>
      <c r="R313" s="49"/>
      <c r="S313" s="49"/>
      <c r="T313" s="49"/>
      <c r="U313" s="49"/>
      <c r="V313" s="49"/>
      <c r="W313" s="49"/>
      <c r="X313" s="49"/>
      <c r="Y313" s="49"/>
      <c r="Z313" s="49"/>
      <c r="AA313" s="49"/>
      <c r="AB313" s="49"/>
      <c r="AC313" s="49"/>
      <c r="AD313" s="49"/>
      <c r="AE313" s="49"/>
      <c r="AF313" s="49"/>
      <c r="AG313" s="49"/>
      <c r="AH313" s="49"/>
      <c r="AI313" s="49"/>
      <c r="AJ313" s="49"/>
      <c r="AK313" s="49"/>
      <c r="AL313" s="40">
        <f t="shared" si="24"/>
        <v>0</v>
      </c>
      <c r="AM313" s="37">
        <f t="shared" si="25"/>
        <v>0</v>
      </c>
      <c r="AN313" s="37">
        <f t="shared" si="26"/>
        <v>0</v>
      </c>
      <c r="AO313" s="38" t="e">
        <f t="shared" si="27"/>
        <v>#DIV/0!</v>
      </c>
      <c r="AP313" s="38" t="e">
        <f t="shared" si="28"/>
        <v>#DIV/0!</v>
      </c>
      <c r="AQ313" s="39" t="e">
        <f t="shared" si="29"/>
        <v>#DIV/0!</v>
      </c>
    </row>
    <row r="314" spans="1:43" ht="20.100000000000001" customHeight="1" x14ac:dyDescent="0.25">
      <c r="A314" s="8">
        <v>312</v>
      </c>
      <c r="B314" s="48"/>
      <c r="C314" s="48"/>
      <c r="D314" s="48"/>
      <c r="E314" s="49"/>
      <c r="F314" s="49"/>
      <c r="G314" s="49"/>
      <c r="H314" s="49"/>
      <c r="I314" s="49"/>
      <c r="J314" s="49"/>
      <c r="K314" s="49"/>
      <c r="L314" s="49"/>
      <c r="M314" s="49"/>
      <c r="N314" s="49"/>
      <c r="O314" s="49"/>
      <c r="P314" s="49"/>
      <c r="Q314" s="49"/>
      <c r="R314" s="49"/>
      <c r="S314" s="49"/>
      <c r="T314" s="49"/>
      <c r="U314" s="49"/>
      <c r="V314" s="49"/>
      <c r="W314" s="49"/>
      <c r="X314" s="49"/>
      <c r="Y314" s="49"/>
      <c r="Z314" s="49"/>
      <c r="AA314" s="49"/>
      <c r="AB314" s="49"/>
      <c r="AC314" s="49"/>
      <c r="AD314" s="49"/>
      <c r="AE314" s="49"/>
      <c r="AF314" s="49"/>
      <c r="AG314" s="49"/>
      <c r="AH314" s="49"/>
      <c r="AI314" s="49"/>
      <c r="AJ314" s="49"/>
      <c r="AK314" s="49"/>
      <c r="AL314" s="40">
        <f t="shared" si="24"/>
        <v>0</v>
      </c>
      <c r="AM314" s="37">
        <f t="shared" si="25"/>
        <v>0</v>
      </c>
      <c r="AN314" s="37">
        <f t="shared" si="26"/>
        <v>0</v>
      </c>
      <c r="AO314" s="38" t="e">
        <f t="shared" si="27"/>
        <v>#DIV/0!</v>
      </c>
      <c r="AP314" s="38" t="e">
        <f t="shared" si="28"/>
        <v>#DIV/0!</v>
      </c>
      <c r="AQ314" s="39" t="e">
        <f t="shared" si="29"/>
        <v>#DIV/0!</v>
      </c>
    </row>
    <row r="315" spans="1:43" ht="20.100000000000001" customHeight="1" x14ac:dyDescent="0.25">
      <c r="A315" s="8">
        <v>313</v>
      </c>
      <c r="B315" s="48"/>
      <c r="C315" s="48"/>
      <c r="D315" s="48"/>
      <c r="E315" s="49"/>
      <c r="F315" s="49"/>
      <c r="G315" s="49"/>
      <c r="H315" s="49"/>
      <c r="I315" s="49"/>
      <c r="J315" s="49"/>
      <c r="K315" s="49"/>
      <c r="L315" s="49"/>
      <c r="M315" s="49"/>
      <c r="N315" s="49"/>
      <c r="O315" s="49"/>
      <c r="P315" s="49"/>
      <c r="Q315" s="49"/>
      <c r="R315" s="49"/>
      <c r="S315" s="49"/>
      <c r="T315" s="49"/>
      <c r="U315" s="49"/>
      <c r="V315" s="49"/>
      <c r="W315" s="49"/>
      <c r="X315" s="49"/>
      <c r="Y315" s="49"/>
      <c r="Z315" s="49"/>
      <c r="AA315" s="49"/>
      <c r="AB315" s="49"/>
      <c r="AC315" s="49"/>
      <c r="AD315" s="49"/>
      <c r="AE315" s="49"/>
      <c r="AF315" s="49"/>
      <c r="AG315" s="49"/>
      <c r="AH315" s="49"/>
      <c r="AI315" s="49"/>
      <c r="AJ315" s="49"/>
      <c r="AK315" s="49"/>
      <c r="AL315" s="40">
        <f t="shared" si="24"/>
        <v>0</v>
      </c>
      <c r="AM315" s="37">
        <f t="shared" si="25"/>
        <v>0</v>
      </c>
      <c r="AN315" s="37">
        <f t="shared" si="26"/>
        <v>0</v>
      </c>
      <c r="AO315" s="38" t="e">
        <f t="shared" si="27"/>
        <v>#DIV/0!</v>
      </c>
      <c r="AP315" s="38" t="e">
        <f t="shared" si="28"/>
        <v>#DIV/0!</v>
      </c>
      <c r="AQ315" s="39" t="e">
        <f t="shared" si="29"/>
        <v>#DIV/0!</v>
      </c>
    </row>
    <row r="316" spans="1:43" ht="20.100000000000001" customHeight="1" x14ac:dyDescent="0.25">
      <c r="A316" s="8">
        <v>314</v>
      </c>
      <c r="B316" s="48"/>
      <c r="C316" s="48"/>
      <c r="D316" s="48"/>
      <c r="E316" s="49"/>
      <c r="F316" s="49"/>
      <c r="G316" s="49"/>
      <c r="H316" s="49"/>
      <c r="I316" s="49"/>
      <c r="J316" s="49"/>
      <c r="K316" s="49"/>
      <c r="L316" s="49"/>
      <c r="M316" s="49"/>
      <c r="N316" s="49"/>
      <c r="O316" s="49"/>
      <c r="P316" s="49"/>
      <c r="Q316" s="49"/>
      <c r="R316" s="49"/>
      <c r="S316" s="49"/>
      <c r="T316" s="49"/>
      <c r="U316" s="49"/>
      <c r="V316" s="49"/>
      <c r="W316" s="49"/>
      <c r="X316" s="49"/>
      <c r="Y316" s="49"/>
      <c r="Z316" s="49"/>
      <c r="AA316" s="49"/>
      <c r="AB316" s="49"/>
      <c r="AC316" s="49"/>
      <c r="AD316" s="49"/>
      <c r="AE316" s="49"/>
      <c r="AF316" s="49"/>
      <c r="AG316" s="49"/>
      <c r="AH316" s="49"/>
      <c r="AI316" s="49"/>
      <c r="AJ316" s="49"/>
      <c r="AK316" s="49"/>
      <c r="AL316" s="40">
        <f t="shared" si="24"/>
        <v>0</v>
      </c>
      <c r="AM316" s="37">
        <f t="shared" si="25"/>
        <v>0</v>
      </c>
      <c r="AN316" s="37">
        <f t="shared" si="26"/>
        <v>0</v>
      </c>
      <c r="AO316" s="38" t="e">
        <f t="shared" si="27"/>
        <v>#DIV/0!</v>
      </c>
      <c r="AP316" s="38" t="e">
        <f t="shared" si="28"/>
        <v>#DIV/0!</v>
      </c>
      <c r="AQ316" s="39" t="e">
        <f t="shared" si="29"/>
        <v>#DIV/0!</v>
      </c>
    </row>
    <row r="317" spans="1:43" ht="20.100000000000001" customHeight="1" x14ac:dyDescent="0.25">
      <c r="A317" s="8">
        <v>315</v>
      </c>
      <c r="B317" s="48"/>
      <c r="C317" s="48"/>
      <c r="D317" s="48"/>
      <c r="E317" s="49"/>
      <c r="F317" s="49"/>
      <c r="G317" s="49"/>
      <c r="H317" s="49"/>
      <c r="I317" s="49"/>
      <c r="J317" s="49"/>
      <c r="K317" s="49"/>
      <c r="L317" s="49"/>
      <c r="M317" s="49"/>
      <c r="N317" s="49"/>
      <c r="O317" s="49"/>
      <c r="P317" s="49"/>
      <c r="Q317" s="49"/>
      <c r="R317" s="49"/>
      <c r="S317" s="49"/>
      <c r="T317" s="49"/>
      <c r="U317" s="49"/>
      <c r="V317" s="49"/>
      <c r="W317" s="49"/>
      <c r="X317" s="49"/>
      <c r="Y317" s="49"/>
      <c r="Z317" s="49"/>
      <c r="AA317" s="49"/>
      <c r="AB317" s="49"/>
      <c r="AC317" s="49"/>
      <c r="AD317" s="49"/>
      <c r="AE317" s="49"/>
      <c r="AF317" s="49"/>
      <c r="AG317" s="49"/>
      <c r="AH317" s="49"/>
      <c r="AI317" s="49"/>
      <c r="AJ317" s="49"/>
      <c r="AK317" s="49"/>
      <c r="AL317" s="40">
        <f t="shared" si="24"/>
        <v>0</v>
      </c>
      <c r="AM317" s="37">
        <f t="shared" si="25"/>
        <v>0</v>
      </c>
      <c r="AN317" s="37">
        <f t="shared" si="26"/>
        <v>0</v>
      </c>
      <c r="AO317" s="38" t="e">
        <f t="shared" si="27"/>
        <v>#DIV/0!</v>
      </c>
      <c r="AP317" s="38" t="e">
        <f t="shared" si="28"/>
        <v>#DIV/0!</v>
      </c>
      <c r="AQ317" s="39" t="e">
        <f t="shared" si="29"/>
        <v>#DIV/0!</v>
      </c>
    </row>
    <row r="318" spans="1:43" ht="20.100000000000001" customHeight="1" x14ac:dyDescent="0.25">
      <c r="A318" s="8">
        <v>316</v>
      </c>
      <c r="B318" s="48"/>
      <c r="C318" s="48"/>
      <c r="D318" s="48"/>
      <c r="E318" s="49"/>
      <c r="F318" s="49"/>
      <c r="G318" s="49"/>
      <c r="H318" s="49"/>
      <c r="I318" s="49"/>
      <c r="J318" s="49"/>
      <c r="K318" s="49"/>
      <c r="L318" s="49"/>
      <c r="M318" s="49"/>
      <c r="N318" s="49"/>
      <c r="O318" s="49"/>
      <c r="P318" s="49"/>
      <c r="Q318" s="49"/>
      <c r="R318" s="49"/>
      <c r="S318" s="49"/>
      <c r="T318" s="49"/>
      <c r="U318" s="49"/>
      <c r="V318" s="49"/>
      <c r="W318" s="49"/>
      <c r="X318" s="49"/>
      <c r="Y318" s="49"/>
      <c r="Z318" s="49"/>
      <c r="AA318" s="49"/>
      <c r="AB318" s="49"/>
      <c r="AC318" s="49"/>
      <c r="AD318" s="49"/>
      <c r="AE318" s="49"/>
      <c r="AF318" s="49"/>
      <c r="AG318" s="49"/>
      <c r="AH318" s="49"/>
      <c r="AI318" s="49"/>
      <c r="AJ318" s="49"/>
      <c r="AK318" s="49"/>
      <c r="AL318" s="40">
        <f t="shared" si="24"/>
        <v>0</v>
      </c>
      <c r="AM318" s="37">
        <f t="shared" si="25"/>
        <v>0</v>
      </c>
      <c r="AN318" s="37">
        <f t="shared" si="26"/>
        <v>0</v>
      </c>
      <c r="AO318" s="38" t="e">
        <f t="shared" si="27"/>
        <v>#DIV/0!</v>
      </c>
      <c r="AP318" s="38" t="e">
        <f t="shared" si="28"/>
        <v>#DIV/0!</v>
      </c>
      <c r="AQ318" s="39" t="e">
        <f t="shared" si="29"/>
        <v>#DIV/0!</v>
      </c>
    </row>
    <row r="319" spans="1:43" ht="20.100000000000001" customHeight="1" x14ac:dyDescent="0.25">
      <c r="A319" s="8">
        <v>317</v>
      </c>
      <c r="B319" s="48"/>
      <c r="C319" s="48"/>
      <c r="D319" s="48"/>
      <c r="E319" s="49"/>
      <c r="F319" s="49"/>
      <c r="G319" s="49"/>
      <c r="H319" s="49"/>
      <c r="I319" s="49"/>
      <c r="J319" s="49"/>
      <c r="K319" s="49"/>
      <c r="L319" s="49"/>
      <c r="M319" s="49"/>
      <c r="N319" s="49"/>
      <c r="O319" s="49"/>
      <c r="P319" s="49"/>
      <c r="Q319" s="49"/>
      <c r="R319" s="49"/>
      <c r="S319" s="49"/>
      <c r="T319" s="49"/>
      <c r="U319" s="49"/>
      <c r="V319" s="49"/>
      <c r="W319" s="49"/>
      <c r="X319" s="49"/>
      <c r="Y319" s="49"/>
      <c r="Z319" s="49"/>
      <c r="AA319" s="49"/>
      <c r="AB319" s="49"/>
      <c r="AC319" s="49"/>
      <c r="AD319" s="49"/>
      <c r="AE319" s="49"/>
      <c r="AF319" s="49"/>
      <c r="AG319" s="49"/>
      <c r="AH319" s="49"/>
      <c r="AI319" s="49"/>
      <c r="AJ319" s="49"/>
      <c r="AK319" s="49"/>
      <c r="AL319" s="40">
        <f t="shared" si="24"/>
        <v>0</v>
      </c>
      <c r="AM319" s="37">
        <f t="shared" si="25"/>
        <v>0</v>
      </c>
      <c r="AN319" s="37">
        <f t="shared" si="26"/>
        <v>0</v>
      </c>
      <c r="AO319" s="38" t="e">
        <f t="shared" si="27"/>
        <v>#DIV/0!</v>
      </c>
      <c r="AP319" s="38" t="e">
        <f t="shared" si="28"/>
        <v>#DIV/0!</v>
      </c>
      <c r="AQ319" s="39" t="e">
        <f t="shared" si="29"/>
        <v>#DIV/0!</v>
      </c>
    </row>
    <row r="320" spans="1:43" ht="20.100000000000001" customHeight="1" x14ac:dyDescent="0.25">
      <c r="A320" s="8">
        <v>318</v>
      </c>
      <c r="B320" s="48"/>
      <c r="C320" s="48"/>
      <c r="D320" s="48"/>
      <c r="E320" s="49"/>
      <c r="F320" s="49"/>
      <c r="G320" s="49"/>
      <c r="H320" s="49"/>
      <c r="I320" s="49"/>
      <c r="J320" s="49"/>
      <c r="K320" s="49"/>
      <c r="L320" s="49"/>
      <c r="M320" s="49"/>
      <c r="N320" s="49"/>
      <c r="O320" s="49"/>
      <c r="P320" s="49"/>
      <c r="Q320" s="49"/>
      <c r="R320" s="49"/>
      <c r="S320" s="49"/>
      <c r="T320" s="49"/>
      <c r="U320" s="49"/>
      <c r="V320" s="49"/>
      <c r="W320" s="49"/>
      <c r="X320" s="49"/>
      <c r="Y320" s="49"/>
      <c r="Z320" s="49"/>
      <c r="AA320" s="49"/>
      <c r="AB320" s="49"/>
      <c r="AC320" s="49"/>
      <c r="AD320" s="49"/>
      <c r="AE320" s="49"/>
      <c r="AF320" s="49"/>
      <c r="AG320" s="49"/>
      <c r="AH320" s="49"/>
      <c r="AI320" s="49"/>
      <c r="AJ320" s="49"/>
      <c r="AK320" s="49"/>
      <c r="AL320" s="40">
        <f t="shared" si="24"/>
        <v>0</v>
      </c>
      <c r="AM320" s="37">
        <f t="shared" si="25"/>
        <v>0</v>
      </c>
      <c r="AN320" s="37">
        <f t="shared" si="26"/>
        <v>0</v>
      </c>
      <c r="AO320" s="38" t="e">
        <f t="shared" si="27"/>
        <v>#DIV/0!</v>
      </c>
      <c r="AP320" s="38" t="e">
        <f t="shared" si="28"/>
        <v>#DIV/0!</v>
      </c>
      <c r="AQ320" s="39" t="e">
        <f t="shared" si="29"/>
        <v>#DIV/0!</v>
      </c>
    </row>
    <row r="321" spans="1:43" ht="20.100000000000001" customHeight="1" x14ac:dyDescent="0.25">
      <c r="A321" s="8">
        <v>319</v>
      </c>
      <c r="B321" s="48"/>
      <c r="C321" s="48"/>
      <c r="D321" s="48"/>
      <c r="E321" s="49"/>
      <c r="F321" s="49"/>
      <c r="G321" s="49"/>
      <c r="H321" s="49"/>
      <c r="I321" s="49"/>
      <c r="J321" s="49"/>
      <c r="K321" s="49"/>
      <c r="L321" s="49"/>
      <c r="M321" s="49"/>
      <c r="N321" s="49"/>
      <c r="O321" s="49"/>
      <c r="P321" s="49"/>
      <c r="Q321" s="49"/>
      <c r="R321" s="49"/>
      <c r="S321" s="49"/>
      <c r="T321" s="49"/>
      <c r="U321" s="49"/>
      <c r="V321" s="49"/>
      <c r="W321" s="49"/>
      <c r="X321" s="49"/>
      <c r="Y321" s="49"/>
      <c r="Z321" s="49"/>
      <c r="AA321" s="49"/>
      <c r="AB321" s="49"/>
      <c r="AC321" s="49"/>
      <c r="AD321" s="49"/>
      <c r="AE321" s="49"/>
      <c r="AF321" s="49"/>
      <c r="AG321" s="49"/>
      <c r="AH321" s="49"/>
      <c r="AI321" s="49"/>
      <c r="AJ321" s="49"/>
      <c r="AK321" s="49"/>
      <c r="AL321" s="40">
        <f t="shared" si="24"/>
        <v>0</v>
      </c>
      <c r="AM321" s="37">
        <f t="shared" si="25"/>
        <v>0</v>
      </c>
      <c r="AN321" s="37">
        <f t="shared" si="26"/>
        <v>0</v>
      </c>
      <c r="AO321" s="38" t="e">
        <f t="shared" si="27"/>
        <v>#DIV/0!</v>
      </c>
      <c r="AP321" s="38" t="e">
        <f t="shared" si="28"/>
        <v>#DIV/0!</v>
      </c>
      <c r="AQ321" s="39" t="e">
        <f t="shared" si="29"/>
        <v>#DIV/0!</v>
      </c>
    </row>
    <row r="322" spans="1:43" ht="20.100000000000001" customHeight="1" x14ac:dyDescent="0.25">
      <c r="A322" s="8">
        <v>320</v>
      </c>
      <c r="B322" s="48"/>
      <c r="C322" s="48"/>
      <c r="D322" s="48"/>
      <c r="E322" s="49"/>
      <c r="F322" s="49"/>
      <c r="G322" s="49"/>
      <c r="H322" s="49"/>
      <c r="I322" s="49"/>
      <c r="J322" s="49"/>
      <c r="K322" s="49"/>
      <c r="L322" s="49"/>
      <c r="M322" s="49"/>
      <c r="N322" s="49"/>
      <c r="O322" s="49"/>
      <c r="P322" s="49"/>
      <c r="Q322" s="49"/>
      <c r="R322" s="49"/>
      <c r="S322" s="49"/>
      <c r="T322" s="49"/>
      <c r="U322" s="49"/>
      <c r="V322" s="49"/>
      <c r="W322" s="49"/>
      <c r="X322" s="49"/>
      <c r="Y322" s="49"/>
      <c r="Z322" s="49"/>
      <c r="AA322" s="49"/>
      <c r="AB322" s="49"/>
      <c r="AC322" s="49"/>
      <c r="AD322" s="49"/>
      <c r="AE322" s="49"/>
      <c r="AF322" s="49"/>
      <c r="AG322" s="49"/>
      <c r="AH322" s="49"/>
      <c r="AI322" s="49"/>
      <c r="AJ322" s="49"/>
      <c r="AK322" s="49"/>
      <c r="AL322" s="40">
        <f t="shared" si="24"/>
        <v>0</v>
      </c>
      <c r="AM322" s="37">
        <f t="shared" si="25"/>
        <v>0</v>
      </c>
      <c r="AN322" s="37">
        <f t="shared" si="26"/>
        <v>0</v>
      </c>
      <c r="AO322" s="38" t="e">
        <f t="shared" si="27"/>
        <v>#DIV/0!</v>
      </c>
      <c r="AP322" s="38" t="e">
        <f t="shared" si="28"/>
        <v>#DIV/0!</v>
      </c>
      <c r="AQ322" s="39" t="e">
        <f t="shared" si="29"/>
        <v>#DIV/0!</v>
      </c>
    </row>
    <row r="323" spans="1:43" ht="20.100000000000001" customHeight="1" x14ac:dyDescent="0.25">
      <c r="A323" s="8">
        <v>321</v>
      </c>
      <c r="B323" s="48"/>
      <c r="C323" s="48"/>
      <c r="D323" s="48"/>
      <c r="E323" s="49"/>
      <c r="F323" s="49"/>
      <c r="G323" s="49"/>
      <c r="H323" s="49"/>
      <c r="I323" s="49"/>
      <c r="J323" s="49"/>
      <c r="K323" s="49"/>
      <c r="L323" s="49"/>
      <c r="M323" s="49"/>
      <c r="N323" s="49"/>
      <c r="O323" s="49"/>
      <c r="P323" s="49"/>
      <c r="Q323" s="49"/>
      <c r="R323" s="49"/>
      <c r="S323" s="49"/>
      <c r="T323" s="49"/>
      <c r="U323" s="49"/>
      <c r="V323" s="49"/>
      <c r="W323" s="49"/>
      <c r="X323" s="49"/>
      <c r="Y323" s="49"/>
      <c r="Z323" s="49"/>
      <c r="AA323" s="49"/>
      <c r="AB323" s="49"/>
      <c r="AC323" s="49"/>
      <c r="AD323" s="49"/>
      <c r="AE323" s="49"/>
      <c r="AF323" s="49"/>
      <c r="AG323" s="49"/>
      <c r="AH323" s="49"/>
      <c r="AI323" s="49"/>
      <c r="AJ323" s="49"/>
      <c r="AK323" s="49"/>
      <c r="AL323" s="40">
        <f t="shared" ref="AL323:AL386" si="30">COUNTIF($H323:$AK323,1)</f>
        <v>0</v>
      </c>
      <c r="AM323" s="37">
        <f t="shared" ref="AM323:AM386" si="31">COUNTIF($H323:$AK323,0)</f>
        <v>0</v>
      </c>
      <c r="AN323" s="37">
        <f t="shared" si="26"/>
        <v>0</v>
      </c>
      <c r="AO323" s="38" t="e">
        <f t="shared" si="27"/>
        <v>#DIV/0!</v>
      </c>
      <c r="AP323" s="38" t="e">
        <f t="shared" si="28"/>
        <v>#DIV/0!</v>
      </c>
      <c r="AQ323" s="39" t="e">
        <f t="shared" si="29"/>
        <v>#DIV/0!</v>
      </c>
    </row>
    <row r="324" spans="1:43" ht="20.100000000000001" customHeight="1" x14ac:dyDescent="0.25">
      <c r="A324" s="8">
        <v>322</v>
      </c>
      <c r="B324" s="48"/>
      <c r="C324" s="48"/>
      <c r="D324" s="48"/>
      <c r="E324" s="49"/>
      <c r="F324" s="49"/>
      <c r="G324" s="49"/>
      <c r="H324" s="49"/>
      <c r="I324" s="49"/>
      <c r="J324" s="49"/>
      <c r="K324" s="49"/>
      <c r="L324" s="49"/>
      <c r="M324" s="49"/>
      <c r="N324" s="49"/>
      <c r="O324" s="49"/>
      <c r="P324" s="49"/>
      <c r="Q324" s="49"/>
      <c r="R324" s="49"/>
      <c r="S324" s="49"/>
      <c r="T324" s="49"/>
      <c r="U324" s="49"/>
      <c r="V324" s="49"/>
      <c r="W324" s="49"/>
      <c r="X324" s="49"/>
      <c r="Y324" s="49"/>
      <c r="Z324" s="49"/>
      <c r="AA324" s="49"/>
      <c r="AB324" s="49"/>
      <c r="AC324" s="49"/>
      <c r="AD324" s="49"/>
      <c r="AE324" s="49"/>
      <c r="AF324" s="49"/>
      <c r="AG324" s="49"/>
      <c r="AH324" s="49"/>
      <c r="AI324" s="49"/>
      <c r="AJ324" s="49"/>
      <c r="AK324" s="49"/>
      <c r="AL324" s="40">
        <f t="shared" si="30"/>
        <v>0</v>
      </c>
      <c r="AM324" s="37">
        <f t="shared" si="31"/>
        <v>0</v>
      </c>
      <c r="AN324" s="37">
        <f t="shared" ref="AN324:AN387" si="32">SUM(AL324:AM324)</f>
        <v>0</v>
      </c>
      <c r="AO324" s="38" t="e">
        <f t="shared" ref="AO324:AO387" si="33">(AL324/AN324)*100</f>
        <v>#DIV/0!</v>
      </c>
      <c r="AP324" s="38" t="e">
        <f t="shared" ref="AP324:AP387" si="34">(AM324/AN324)*100</f>
        <v>#DIV/0!</v>
      </c>
      <c r="AQ324" s="39" t="e">
        <f t="shared" ref="AQ324:AQ387" si="35">SUM(AO324:AP324)</f>
        <v>#DIV/0!</v>
      </c>
    </row>
    <row r="325" spans="1:43" ht="20.100000000000001" customHeight="1" x14ac:dyDescent="0.25">
      <c r="A325" s="8">
        <v>323</v>
      </c>
      <c r="B325" s="48"/>
      <c r="C325" s="48"/>
      <c r="D325" s="48"/>
      <c r="E325" s="49"/>
      <c r="F325" s="49"/>
      <c r="G325" s="49"/>
      <c r="H325" s="49"/>
      <c r="I325" s="49"/>
      <c r="J325" s="49"/>
      <c r="K325" s="49"/>
      <c r="L325" s="49"/>
      <c r="M325" s="49"/>
      <c r="N325" s="49"/>
      <c r="O325" s="49"/>
      <c r="P325" s="49"/>
      <c r="Q325" s="49"/>
      <c r="R325" s="49"/>
      <c r="S325" s="49"/>
      <c r="T325" s="49"/>
      <c r="U325" s="49"/>
      <c r="V325" s="49"/>
      <c r="W325" s="49"/>
      <c r="X325" s="49"/>
      <c r="Y325" s="49"/>
      <c r="Z325" s="49"/>
      <c r="AA325" s="49"/>
      <c r="AB325" s="49"/>
      <c r="AC325" s="49"/>
      <c r="AD325" s="49"/>
      <c r="AE325" s="49"/>
      <c r="AF325" s="49"/>
      <c r="AG325" s="49"/>
      <c r="AH325" s="49"/>
      <c r="AI325" s="49"/>
      <c r="AJ325" s="49"/>
      <c r="AK325" s="49"/>
      <c r="AL325" s="40">
        <f t="shared" si="30"/>
        <v>0</v>
      </c>
      <c r="AM325" s="37">
        <f t="shared" si="31"/>
        <v>0</v>
      </c>
      <c r="AN325" s="37">
        <f t="shared" si="32"/>
        <v>0</v>
      </c>
      <c r="AO325" s="38" t="e">
        <f t="shared" si="33"/>
        <v>#DIV/0!</v>
      </c>
      <c r="AP325" s="38" t="e">
        <f t="shared" si="34"/>
        <v>#DIV/0!</v>
      </c>
      <c r="AQ325" s="39" t="e">
        <f t="shared" si="35"/>
        <v>#DIV/0!</v>
      </c>
    </row>
    <row r="326" spans="1:43" ht="20.100000000000001" customHeight="1" x14ac:dyDescent="0.25">
      <c r="A326" s="8">
        <v>324</v>
      </c>
      <c r="B326" s="48"/>
      <c r="C326" s="48"/>
      <c r="D326" s="48"/>
      <c r="E326" s="49"/>
      <c r="F326" s="49"/>
      <c r="G326" s="49"/>
      <c r="H326" s="49"/>
      <c r="I326" s="49"/>
      <c r="J326" s="49"/>
      <c r="K326" s="49"/>
      <c r="L326" s="49"/>
      <c r="M326" s="49"/>
      <c r="N326" s="49"/>
      <c r="O326" s="49"/>
      <c r="P326" s="49"/>
      <c r="Q326" s="49"/>
      <c r="R326" s="49"/>
      <c r="S326" s="49"/>
      <c r="T326" s="49"/>
      <c r="U326" s="49"/>
      <c r="V326" s="49"/>
      <c r="W326" s="49"/>
      <c r="X326" s="49"/>
      <c r="Y326" s="49"/>
      <c r="Z326" s="49"/>
      <c r="AA326" s="49"/>
      <c r="AB326" s="49"/>
      <c r="AC326" s="49"/>
      <c r="AD326" s="49"/>
      <c r="AE326" s="49"/>
      <c r="AF326" s="49"/>
      <c r="AG326" s="49"/>
      <c r="AH326" s="49"/>
      <c r="AI326" s="49"/>
      <c r="AJ326" s="49"/>
      <c r="AK326" s="49"/>
      <c r="AL326" s="40">
        <f t="shared" si="30"/>
        <v>0</v>
      </c>
      <c r="AM326" s="37">
        <f t="shared" si="31"/>
        <v>0</v>
      </c>
      <c r="AN326" s="37">
        <f t="shared" si="32"/>
        <v>0</v>
      </c>
      <c r="AO326" s="38" t="e">
        <f t="shared" si="33"/>
        <v>#DIV/0!</v>
      </c>
      <c r="AP326" s="38" t="e">
        <f t="shared" si="34"/>
        <v>#DIV/0!</v>
      </c>
      <c r="AQ326" s="39" t="e">
        <f t="shared" si="35"/>
        <v>#DIV/0!</v>
      </c>
    </row>
    <row r="327" spans="1:43" ht="20.100000000000001" customHeight="1" x14ac:dyDescent="0.25">
      <c r="A327" s="8">
        <v>325</v>
      </c>
      <c r="B327" s="48"/>
      <c r="C327" s="48"/>
      <c r="D327" s="48"/>
      <c r="E327" s="49"/>
      <c r="F327" s="49"/>
      <c r="G327" s="49"/>
      <c r="H327" s="49"/>
      <c r="I327" s="49"/>
      <c r="J327" s="49"/>
      <c r="K327" s="49"/>
      <c r="L327" s="49"/>
      <c r="M327" s="49"/>
      <c r="N327" s="49"/>
      <c r="O327" s="49"/>
      <c r="P327" s="49"/>
      <c r="Q327" s="49"/>
      <c r="R327" s="49"/>
      <c r="S327" s="49"/>
      <c r="T327" s="49"/>
      <c r="U327" s="49"/>
      <c r="V327" s="49"/>
      <c r="W327" s="49"/>
      <c r="X327" s="49"/>
      <c r="Y327" s="49"/>
      <c r="Z327" s="49"/>
      <c r="AA327" s="49"/>
      <c r="AB327" s="49"/>
      <c r="AC327" s="49"/>
      <c r="AD327" s="49"/>
      <c r="AE327" s="49"/>
      <c r="AF327" s="49"/>
      <c r="AG327" s="49"/>
      <c r="AH327" s="49"/>
      <c r="AI327" s="49"/>
      <c r="AJ327" s="49"/>
      <c r="AK327" s="49"/>
      <c r="AL327" s="40">
        <f t="shared" si="30"/>
        <v>0</v>
      </c>
      <c r="AM327" s="37">
        <f t="shared" si="31"/>
        <v>0</v>
      </c>
      <c r="AN327" s="37">
        <f t="shared" si="32"/>
        <v>0</v>
      </c>
      <c r="AO327" s="38" t="e">
        <f t="shared" si="33"/>
        <v>#DIV/0!</v>
      </c>
      <c r="AP327" s="38" t="e">
        <f t="shared" si="34"/>
        <v>#DIV/0!</v>
      </c>
      <c r="AQ327" s="39" t="e">
        <f t="shared" si="35"/>
        <v>#DIV/0!</v>
      </c>
    </row>
    <row r="328" spans="1:43" ht="20.100000000000001" customHeight="1" x14ac:dyDescent="0.25">
      <c r="A328" s="8">
        <v>326</v>
      </c>
      <c r="B328" s="48"/>
      <c r="C328" s="48"/>
      <c r="D328" s="48"/>
      <c r="E328" s="49"/>
      <c r="F328" s="49"/>
      <c r="G328" s="49"/>
      <c r="H328" s="49"/>
      <c r="I328" s="49"/>
      <c r="J328" s="49"/>
      <c r="K328" s="49"/>
      <c r="L328" s="49"/>
      <c r="M328" s="49"/>
      <c r="N328" s="49"/>
      <c r="O328" s="49"/>
      <c r="P328" s="49"/>
      <c r="Q328" s="49"/>
      <c r="R328" s="49"/>
      <c r="S328" s="49"/>
      <c r="T328" s="49"/>
      <c r="U328" s="49"/>
      <c r="V328" s="49"/>
      <c r="W328" s="49"/>
      <c r="X328" s="49"/>
      <c r="Y328" s="49"/>
      <c r="Z328" s="49"/>
      <c r="AA328" s="49"/>
      <c r="AB328" s="49"/>
      <c r="AC328" s="49"/>
      <c r="AD328" s="49"/>
      <c r="AE328" s="49"/>
      <c r="AF328" s="49"/>
      <c r="AG328" s="49"/>
      <c r="AH328" s="49"/>
      <c r="AI328" s="49"/>
      <c r="AJ328" s="49"/>
      <c r="AK328" s="49"/>
      <c r="AL328" s="40">
        <f t="shared" si="30"/>
        <v>0</v>
      </c>
      <c r="AM328" s="37">
        <f t="shared" si="31"/>
        <v>0</v>
      </c>
      <c r="AN328" s="37">
        <f t="shared" si="32"/>
        <v>0</v>
      </c>
      <c r="AO328" s="38" t="e">
        <f t="shared" si="33"/>
        <v>#DIV/0!</v>
      </c>
      <c r="AP328" s="38" t="e">
        <f t="shared" si="34"/>
        <v>#DIV/0!</v>
      </c>
      <c r="AQ328" s="39" t="e">
        <f t="shared" si="35"/>
        <v>#DIV/0!</v>
      </c>
    </row>
    <row r="329" spans="1:43" ht="20.100000000000001" customHeight="1" x14ac:dyDescent="0.25">
      <c r="A329" s="8">
        <v>327</v>
      </c>
      <c r="B329" s="48"/>
      <c r="C329" s="48"/>
      <c r="D329" s="48"/>
      <c r="E329" s="49"/>
      <c r="F329" s="49"/>
      <c r="G329" s="49"/>
      <c r="H329" s="49"/>
      <c r="I329" s="49"/>
      <c r="J329" s="49"/>
      <c r="K329" s="49"/>
      <c r="L329" s="49"/>
      <c r="M329" s="49"/>
      <c r="N329" s="49"/>
      <c r="O329" s="49"/>
      <c r="P329" s="49"/>
      <c r="Q329" s="49"/>
      <c r="R329" s="49"/>
      <c r="S329" s="49"/>
      <c r="T329" s="49"/>
      <c r="U329" s="49"/>
      <c r="V329" s="49"/>
      <c r="W329" s="49"/>
      <c r="X329" s="49"/>
      <c r="Y329" s="49"/>
      <c r="Z329" s="49"/>
      <c r="AA329" s="49"/>
      <c r="AB329" s="49"/>
      <c r="AC329" s="49"/>
      <c r="AD329" s="49"/>
      <c r="AE329" s="49"/>
      <c r="AF329" s="49"/>
      <c r="AG329" s="49"/>
      <c r="AH329" s="49"/>
      <c r="AI329" s="49"/>
      <c r="AJ329" s="49"/>
      <c r="AK329" s="49"/>
      <c r="AL329" s="40">
        <f t="shared" si="30"/>
        <v>0</v>
      </c>
      <c r="AM329" s="37">
        <f t="shared" si="31"/>
        <v>0</v>
      </c>
      <c r="AN329" s="37">
        <f t="shared" si="32"/>
        <v>0</v>
      </c>
      <c r="AO329" s="38" t="e">
        <f t="shared" si="33"/>
        <v>#DIV/0!</v>
      </c>
      <c r="AP329" s="38" t="e">
        <f t="shared" si="34"/>
        <v>#DIV/0!</v>
      </c>
      <c r="AQ329" s="39" t="e">
        <f t="shared" si="35"/>
        <v>#DIV/0!</v>
      </c>
    </row>
    <row r="330" spans="1:43" ht="20.100000000000001" customHeight="1" x14ac:dyDescent="0.25">
      <c r="A330" s="8">
        <v>328</v>
      </c>
      <c r="B330" s="48"/>
      <c r="C330" s="48"/>
      <c r="D330" s="48"/>
      <c r="E330" s="49"/>
      <c r="F330" s="49"/>
      <c r="G330" s="49"/>
      <c r="H330" s="49"/>
      <c r="I330" s="49"/>
      <c r="J330" s="49"/>
      <c r="K330" s="49"/>
      <c r="L330" s="49"/>
      <c r="M330" s="49"/>
      <c r="N330" s="49"/>
      <c r="O330" s="49"/>
      <c r="P330" s="49"/>
      <c r="Q330" s="49"/>
      <c r="R330" s="49"/>
      <c r="S330" s="49"/>
      <c r="T330" s="49"/>
      <c r="U330" s="49"/>
      <c r="V330" s="49"/>
      <c r="W330" s="49"/>
      <c r="X330" s="49"/>
      <c r="Y330" s="49"/>
      <c r="Z330" s="49"/>
      <c r="AA330" s="49"/>
      <c r="AB330" s="49"/>
      <c r="AC330" s="49"/>
      <c r="AD330" s="49"/>
      <c r="AE330" s="49"/>
      <c r="AF330" s="49"/>
      <c r="AG330" s="49"/>
      <c r="AH330" s="49"/>
      <c r="AI330" s="49"/>
      <c r="AJ330" s="49"/>
      <c r="AK330" s="49"/>
      <c r="AL330" s="40">
        <f t="shared" si="30"/>
        <v>0</v>
      </c>
      <c r="AM330" s="37">
        <f t="shared" si="31"/>
        <v>0</v>
      </c>
      <c r="AN330" s="37">
        <f t="shared" si="32"/>
        <v>0</v>
      </c>
      <c r="AO330" s="38" t="e">
        <f t="shared" si="33"/>
        <v>#DIV/0!</v>
      </c>
      <c r="AP330" s="38" t="e">
        <f t="shared" si="34"/>
        <v>#DIV/0!</v>
      </c>
      <c r="AQ330" s="39" t="e">
        <f t="shared" si="35"/>
        <v>#DIV/0!</v>
      </c>
    </row>
    <row r="331" spans="1:43" ht="20.100000000000001" customHeight="1" x14ac:dyDescent="0.25">
      <c r="A331" s="8">
        <v>329</v>
      </c>
      <c r="B331" s="48"/>
      <c r="C331" s="48"/>
      <c r="D331" s="48"/>
      <c r="E331" s="49"/>
      <c r="F331" s="49"/>
      <c r="G331" s="49"/>
      <c r="H331" s="49"/>
      <c r="I331" s="49"/>
      <c r="J331" s="49"/>
      <c r="K331" s="49"/>
      <c r="L331" s="49"/>
      <c r="M331" s="49"/>
      <c r="N331" s="49"/>
      <c r="O331" s="49"/>
      <c r="P331" s="49"/>
      <c r="Q331" s="49"/>
      <c r="R331" s="49"/>
      <c r="S331" s="49"/>
      <c r="T331" s="49"/>
      <c r="U331" s="49"/>
      <c r="V331" s="49"/>
      <c r="W331" s="49"/>
      <c r="X331" s="49"/>
      <c r="Y331" s="49"/>
      <c r="Z331" s="49"/>
      <c r="AA331" s="49"/>
      <c r="AB331" s="49"/>
      <c r="AC331" s="49"/>
      <c r="AD331" s="49"/>
      <c r="AE331" s="49"/>
      <c r="AF331" s="49"/>
      <c r="AG331" s="49"/>
      <c r="AH331" s="49"/>
      <c r="AI331" s="49"/>
      <c r="AJ331" s="49"/>
      <c r="AK331" s="49"/>
      <c r="AL331" s="40">
        <f t="shared" si="30"/>
        <v>0</v>
      </c>
      <c r="AM331" s="37">
        <f t="shared" si="31"/>
        <v>0</v>
      </c>
      <c r="AN331" s="37">
        <f t="shared" si="32"/>
        <v>0</v>
      </c>
      <c r="AO331" s="38" t="e">
        <f t="shared" si="33"/>
        <v>#DIV/0!</v>
      </c>
      <c r="AP331" s="38" t="e">
        <f t="shared" si="34"/>
        <v>#DIV/0!</v>
      </c>
      <c r="AQ331" s="39" t="e">
        <f t="shared" si="35"/>
        <v>#DIV/0!</v>
      </c>
    </row>
    <row r="332" spans="1:43" ht="20.100000000000001" customHeight="1" x14ac:dyDescent="0.25">
      <c r="A332" s="8">
        <v>330</v>
      </c>
      <c r="B332" s="48"/>
      <c r="C332" s="48"/>
      <c r="D332" s="48"/>
      <c r="E332" s="49"/>
      <c r="F332" s="49"/>
      <c r="G332" s="49"/>
      <c r="H332" s="49"/>
      <c r="I332" s="49"/>
      <c r="J332" s="49"/>
      <c r="K332" s="49"/>
      <c r="L332" s="49"/>
      <c r="M332" s="49"/>
      <c r="N332" s="49"/>
      <c r="O332" s="49"/>
      <c r="P332" s="49"/>
      <c r="Q332" s="49"/>
      <c r="R332" s="49"/>
      <c r="S332" s="49"/>
      <c r="T332" s="49"/>
      <c r="U332" s="49"/>
      <c r="V332" s="49"/>
      <c r="W332" s="49"/>
      <c r="X332" s="49"/>
      <c r="Y332" s="49"/>
      <c r="Z332" s="49"/>
      <c r="AA332" s="49"/>
      <c r="AB332" s="49"/>
      <c r="AC332" s="49"/>
      <c r="AD332" s="49"/>
      <c r="AE332" s="49"/>
      <c r="AF332" s="49"/>
      <c r="AG332" s="49"/>
      <c r="AH332" s="49"/>
      <c r="AI332" s="49"/>
      <c r="AJ332" s="49"/>
      <c r="AK332" s="49"/>
      <c r="AL332" s="40">
        <f t="shared" si="30"/>
        <v>0</v>
      </c>
      <c r="AM332" s="37">
        <f t="shared" si="31"/>
        <v>0</v>
      </c>
      <c r="AN332" s="37">
        <f t="shared" si="32"/>
        <v>0</v>
      </c>
      <c r="AO332" s="38" t="e">
        <f t="shared" si="33"/>
        <v>#DIV/0!</v>
      </c>
      <c r="AP332" s="38" t="e">
        <f t="shared" si="34"/>
        <v>#DIV/0!</v>
      </c>
      <c r="AQ332" s="39" t="e">
        <f t="shared" si="35"/>
        <v>#DIV/0!</v>
      </c>
    </row>
    <row r="333" spans="1:43" ht="20.100000000000001" customHeight="1" x14ac:dyDescent="0.25">
      <c r="A333" s="8">
        <v>331</v>
      </c>
      <c r="B333" s="48"/>
      <c r="C333" s="48"/>
      <c r="D333" s="48"/>
      <c r="E333" s="49"/>
      <c r="F333" s="49"/>
      <c r="G333" s="49"/>
      <c r="H333" s="49"/>
      <c r="I333" s="49"/>
      <c r="J333" s="49"/>
      <c r="K333" s="49"/>
      <c r="L333" s="49"/>
      <c r="M333" s="49"/>
      <c r="N333" s="49"/>
      <c r="O333" s="49"/>
      <c r="P333" s="49"/>
      <c r="Q333" s="49"/>
      <c r="R333" s="49"/>
      <c r="S333" s="49"/>
      <c r="T333" s="49"/>
      <c r="U333" s="49"/>
      <c r="V333" s="49"/>
      <c r="W333" s="49"/>
      <c r="X333" s="49"/>
      <c r="Y333" s="49"/>
      <c r="Z333" s="49"/>
      <c r="AA333" s="49"/>
      <c r="AB333" s="49"/>
      <c r="AC333" s="49"/>
      <c r="AD333" s="49"/>
      <c r="AE333" s="49"/>
      <c r="AF333" s="49"/>
      <c r="AG333" s="49"/>
      <c r="AH333" s="49"/>
      <c r="AI333" s="49"/>
      <c r="AJ333" s="49"/>
      <c r="AK333" s="49"/>
      <c r="AL333" s="40">
        <f t="shared" si="30"/>
        <v>0</v>
      </c>
      <c r="AM333" s="37">
        <f t="shared" si="31"/>
        <v>0</v>
      </c>
      <c r="AN333" s="37">
        <f t="shared" si="32"/>
        <v>0</v>
      </c>
      <c r="AO333" s="38" t="e">
        <f t="shared" si="33"/>
        <v>#DIV/0!</v>
      </c>
      <c r="AP333" s="38" t="e">
        <f t="shared" si="34"/>
        <v>#DIV/0!</v>
      </c>
      <c r="AQ333" s="39" t="e">
        <f t="shared" si="35"/>
        <v>#DIV/0!</v>
      </c>
    </row>
    <row r="334" spans="1:43" ht="20.100000000000001" customHeight="1" x14ac:dyDescent="0.25">
      <c r="A334" s="8">
        <v>332</v>
      </c>
      <c r="B334" s="48"/>
      <c r="C334" s="48"/>
      <c r="D334" s="48"/>
      <c r="E334" s="49"/>
      <c r="F334" s="49"/>
      <c r="G334" s="49"/>
      <c r="H334" s="49"/>
      <c r="I334" s="49"/>
      <c r="J334" s="49"/>
      <c r="K334" s="49"/>
      <c r="L334" s="49"/>
      <c r="M334" s="49"/>
      <c r="N334" s="49"/>
      <c r="O334" s="49"/>
      <c r="P334" s="49"/>
      <c r="Q334" s="49"/>
      <c r="R334" s="49"/>
      <c r="S334" s="49"/>
      <c r="T334" s="49"/>
      <c r="U334" s="49"/>
      <c r="V334" s="49"/>
      <c r="W334" s="49"/>
      <c r="X334" s="49"/>
      <c r="Y334" s="49"/>
      <c r="Z334" s="49"/>
      <c r="AA334" s="49"/>
      <c r="AB334" s="49"/>
      <c r="AC334" s="49"/>
      <c r="AD334" s="49"/>
      <c r="AE334" s="49"/>
      <c r="AF334" s="49"/>
      <c r="AG334" s="49"/>
      <c r="AH334" s="49"/>
      <c r="AI334" s="49"/>
      <c r="AJ334" s="49"/>
      <c r="AK334" s="49"/>
      <c r="AL334" s="40">
        <f t="shared" si="30"/>
        <v>0</v>
      </c>
      <c r="AM334" s="37">
        <f t="shared" si="31"/>
        <v>0</v>
      </c>
      <c r="AN334" s="37">
        <f t="shared" si="32"/>
        <v>0</v>
      </c>
      <c r="AO334" s="38" t="e">
        <f t="shared" si="33"/>
        <v>#DIV/0!</v>
      </c>
      <c r="AP334" s="38" t="e">
        <f t="shared" si="34"/>
        <v>#DIV/0!</v>
      </c>
      <c r="AQ334" s="39" t="e">
        <f t="shared" si="35"/>
        <v>#DIV/0!</v>
      </c>
    </row>
    <row r="335" spans="1:43" ht="20.100000000000001" customHeight="1" x14ac:dyDescent="0.25">
      <c r="A335" s="8">
        <v>333</v>
      </c>
      <c r="B335" s="48"/>
      <c r="C335" s="48"/>
      <c r="D335" s="48"/>
      <c r="E335" s="49"/>
      <c r="F335" s="49"/>
      <c r="G335" s="49"/>
      <c r="H335" s="49"/>
      <c r="I335" s="49"/>
      <c r="J335" s="49"/>
      <c r="K335" s="49"/>
      <c r="L335" s="49"/>
      <c r="M335" s="49"/>
      <c r="N335" s="49"/>
      <c r="O335" s="49"/>
      <c r="P335" s="49"/>
      <c r="Q335" s="49"/>
      <c r="R335" s="49"/>
      <c r="S335" s="49"/>
      <c r="T335" s="49"/>
      <c r="U335" s="49"/>
      <c r="V335" s="49"/>
      <c r="W335" s="49"/>
      <c r="X335" s="49"/>
      <c r="Y335" s="49"/>
      <c r="Z335" s="49"/>
      <c r="AA335" s="49"/>
      <c r="AB335" s="49"/>
      <c r="AC335" s="49"/>
      <c r="AD335" s="49"/>
      <c r="AE335" s="49"/>
      <c r="AF335" s="49"/>
      <c r="AG335" s="49"/>
      <c r="AH335" s="49"/>
      <c r="AI335" s="49"/>
      <c r="AJ335" s="49"/>
      <c r="AK335" s="49"/>
      <c r="AL335" s="40">
        <f t="shared" si="30"/>
        <v>0</v>
      </c>
      <c r="AM335" s="37">
        <f t="shared" si="31"/>
        <v>0</v>
      </c>
      <c r="AN335" s="37">
        <f t="shared" si="32"/>
        <v>0</v>
      </c>
      <c r="AO335" s="38" t="e">
        <f t="shared" si="33"/>
        <v>#DIV/0!</v>
      </c>
      <c r="AP335" s="38" t="e">
        <f t="shared" si="34"/>
        <v>#DIV/0!</v>
      </c>
      <c r="AQ335" s="39" t="e">
        <f t="shared" si="35"/>
        <v>#DIV/0!</v>
      </c>
    </row>
    <row r="336" spans="1:43" ht="20.100000000000001" customHeight="1" x14ac:dyDescent="0.25">
      <c r="A336" s="8">
        <v>334</v>
      </c>
      <c r="B336" s="48"/>
      <c r="C336" s="48"/>
      <c r="D336" s="48"/>
      <c r="E336" s="49"/>
      <c r="F336" s="49"/>
      <c r="G336" s="49"/>
      <c r="H336" s="49"/>
      <c r="I336" s="49"/>
      <c r="J336" s="49"/>
      <c r="K336" s="49"/>
      <c r="L336" s="49"/>
      <c r="M336" s="49"/>
      <c r="N336" s="49"/>
      <c r="O336" s="49"/>
      <c r="P336" s="49"/>
      <c r="Q336" s="49"/>
      <c r="R336" s="49"/>
      <c r="S336" s="49"/>
      <c r="T336" s="49"/>
      <c r="U336" s="49"/>
      <c r="V336" s="49"/>
      <c r="W336" s="49"/>
      <c r="X336" s="49"/>
      <c r="Y336" s="49"/>
      <c r="Z336" s="49"/>
      <c r="AA336" s="49"/>
      <c r="AB336" s="49"/>
      <c r="AC336" s="49"/>
      <c r="AD336" s="49"/>
      <c r="AE336" s="49"/>
      <c r="AF336" s="49"/>
      <c r="AG336" s="49"/>
      <c r="AH336" s="49"/>
      <c r="AI336" s="49"/>
      <c r="AJ336" s="49"/>
      <c r="AK336" s="49"/>
      <c r="AL336" s="40">
        <f t="shared" si="30"/>
        <v>0</v>
      </c>
      <c r="AM336" s="37">
        <f t="shared" si="31"/>
        <v>0</v>
      </c>
      <c r="AN336" s="37">
        <f t="shared" si="32"/>
        <v>0</v>
      </c>
      <c r="AO336" s="38" t="e">
        <f t="shared" si="33"/>
        <v>#DIV/0!</v>
      </c>
      <c r="AP336" s="38" t="e">
        <f t="shared" si="34"/>
        <v>#DIV/0!</v>
      </c>
      <c r="AQ336" s="39" t="e">
        <f t="shared" si="35"/>
        <v>#DIV/0!</v>
      </c>
    </row>
    <row r="337" spans="1:43" ht="20.100000000000001" customHeight="1" x14ac:dyDescent="0.25">
      <c r="A337" s="8">
        <v>335</v>
      </c>
      <c r="B337" s="48"/>
      <c r="C337" s="48"/>
      <c r="D337" s="48"/>
      <c r="E337" s="49"/>
      <c r="F337" s="49"/>
      <c r="G337" s="49"/>
      <c r="H337" s="49"/>
      <c r="I337" s="49"/>
      <c r="J337" s="49"/>
      <c r="K337" s="49"/>
      <c r="L337" s="49"/>
      <c r="M337" s="49"/>
      <c r="N337" s="49"/>
      <c r="O337" s="49"/>
      <c r="P337" s="49"/>
      <c r="Q337" s="49"/>
      <c r="R337" s="49"/>
      <c r="S337" s="49"/>
      <c r="T337" s="49"/>
      <c r="U337" s="49"/>
      <c r="V337" s="49"/>
      <c r="W337" s="49"/>
      <c r="X337" s="49"/>
      <c r="Y337" s="49"/>
      <c r="Z337" s="49"/>
      <c r="AA337" s="49"/>
      <c r="AB337" s="49"/>
      <c r="AC337" s="49"/>
      <c r="AD337" s="49"/>
      <c r="AE337" s="49"/>
      <c r="AF337" s="49"/>
      <c r="AG337" s="49"/>
      <c r="AH337" s="49"/>
      <c r="AI337" s="49"/>
      <c r="AJ337" s="49"/>
      <c r="AK337" s="49"/>
      <c r="AL337" s="40">
        <f t="shared" si="30"/>
        <v>0</v>
      </c>
      <c r="AM337" s="37">
        <f t="shared" si="31"/>
        <v>0</v>
      </c>
      <c r="AN337" s="37">
        <f t="shared" si="32"/>
        <v>0</v>
      </c>
      <c r="AO337" s="38" t="e">
        <f t="shared" si="33"/>
        <v>#DIV/0!</v>
      </c>
      <c r="AP337" s="38" t="e">
        <f t="shared" si="34"/>
        <v>#DIV/0!</v>
      </c>
      <c r="AQ337" s="39" t="e">
        <f t="shared" si="35"/>
        <v>#DIV/0!</v>
      </c>
    </row>
    <row r="338" spans="1:43" ht="20.100000000000001" customHeight="1" x14ac:dyDescent="0.25">
      <c r="A338" s="8">
        <v>336</v>
      </c>
      <c r="B338" s="48"/>
      <c r="C338" s="48"/>
      <c r="D338" s="48"/>
      <c r="E338" s="49"/>
      <c r="F338" s="49"/>
      <c r="G338" s="49"/>
      <c r="H338" s="49"/>
      <c r="I338" s="49"/>
      <c r="J338" s="49"/>
      <c r="K338" s="49"/>
      <c r="L338" s="49"/>
      <c r="M338" s="49"/>
      <c r="N338" s="49"/>
      <c r="O338" s="49"/>
      <c r="P338" s="49"/>
      <c r="Q338" s="49"/>
      <c r="R338" s="49"/>
      <c r="S338" s="49"/>
      <c r="T338" s="49"/>
      <c r="U338" s="49"/>
      <c r="V338" s="49"/>
      <c r="W338" s="49"/>
      <c r="X338" s="49"/>
      <c r="Y338" s="49"/>
      <c r="Z338" s="49"/>
      <c r="AA338" s="49"/>
      <c r="AB338" s="49"/>
      <c r="AC338" s="49"/>
      <c r="AD338" s="49"/>
      <c r="AE338" s="49"/>
      <c r="AF338" s="49"/>
      <c r="AG338" s="49"/>
      <c r="AH338" s="49"/>
      <c r="AI338" s="49"/>
      <c r="AJ338" s="49"/>
      <c r="AK338" s="49"/>
      <c r="AL338" s="40">
        <f t="shared" si="30"/>
        <v>0</v>
      </c>
      <c r="AM338" s="37">
        <f t="shared" si="31"/>
        <v>0</v>
      </c>
      <c r="AN338" s="37">
        <f t="shared" si="32"/>
        <v>0</v>
      </c>
      <c r="AO338" s="38" t="e">
        <f t="shared" si="33"/>
        <v>#DIV/0!</v>
      </c>
      <c r="AP338" s="38" t="e">
        <f t="shared" si="34"/>
        <v>#DIV/0!</v>
      </c>
      <c r="AQ338" s="39" t="e">
        <f t="shared" si="35"/>
        <v>#DIV/0!</v>
      </c>
    </row>
    <row r="339" spans="1:43" ht="20.100000000000001" customHeight="1" x14ac:dyDescent="0.25">
      <c r="A339" s="8">
        <v>337</v>
      </c>
      <c r="B339" s="48"/>
      <c r="C339" s="48"/>
      <c r="D339" s="48"/>
      <c r="E339" s="49"/>
      <c r="F339" s="49"/>
      <c r="G339" s="49"/>
      <c r="H339" s="49"/>
      <c r="I339" s="49"/>
      <c r="J339" s="49"/>
      <c r="K339" s="49"/>
      <c r="L339" s="49"/>
      <c r="M339" s="49"/>
      <c r="N339" s="49"/>
      <c r="O339" s="49"/>
      <c r="P339" s="49"/>
      <c r="Q339" s="49"/>
      <c r="R339" s="49"/>
      <c r="S339" s="49"/>
      <c r="T339" s="49"/>
      <c r="U339" s="49"/>
      <c r="V339" s="49"/>
      <c r="W339" s="49"/>
      <c r="X339" s="49"/>
      <c r="Y339" s="49"/>
      <c r="Z339" s="49"/>
      <c r="AA339" s="49"/>
      <c r="AB339" s="49"/>
      <c r="AC339" s="49"/>
      <c r="AD339" s="49"/>
      <c r="AE339" s="49"/>
      <c r="AF339" s="49"/>
      <c r="AG339" s="49"/>
      <c r="AH339" s="49"/>
      <c r="AI339" s="49"/>
      <c r="AJ339" s="49"/>
      <c r="AK339" s="49"/>
      <c r="AL339" s="40">
        <f t="shared" si="30"/>
        <v>0</v>
      </c>
      <c r="AM339" s="37">
        <f t="shared" si="31"/>
        <v>0</v>
      </c>
      <c r="AN339" s="37">
        <f t="shared" si="32"/>
        <v>0</v>
      </c>
      <c r="AO339" s="38" t="e">
        <f t="shared" si="33"/>
        <v>#DIV/0!</v>
      </c>
      <c r="AP339" s="38" t="e">
        <f t="shared" si="34"/>
        <v>#DIV/0!</v>
      </c>
      <c r="AQ339" s="39" t="e">
        <f t="shared" si="35"/>
        <v>#DIV/0!</v>
      </c>
    </row>
    <row r="340" spans="1:43" ht="20.100000000000001" customHeight="1" x14ac:dyDescent="0.25">
      <c r="A340" s="8">
        <v>338</v>
      </c>
      <c r="B340" s="48"/>
      <c r="C340" s="48"/>
      <c r="D340" s="48"/>
      <c r="E340" s="49"/>
      <c r="F340" s="49"/>
      <c r="G340" s="49"/>
      <c r="H340" s="49"/>
      <c r="I340" s="49"/>
      <c r="J340" s="49"/>
      <c r="K340" s="49"/>
      <c r="L340" s="49"/>
      <c r="M340" s="49"/>
      <c r="N340" s="49"/>
      <c r="O340" s="49"/>
      <c r="P340" s="49"/>
      <c r="Q340" s="49"/>
      <c r="R340" s="49"/>
      <c r="S340" s="49"/>
      <c r="T340" s="49"/>
      <c r="U340" s="49"/>
      <c r="V340" s="49"/>
      <c r="W340" s="49"/>
      <c r="X340" s="49"/>
      <c r="Y340" s="49"/>
      <c r="Z340" s="49"/>
      <c r="AA340" s="49"/>
      <c r="AB340" s="49"/>
      <c r="AC340" s="49"/>
      <c r="AD340" s="49"/>
      <c r="AE340" s="49"/>
      <c r="AF340" s="49"/>
      <c r="AG340" s="49"/>
      <c r="AH340" s="49"/>
      <c r="AI340" s="49"/>
      <c r="AJ340" s="49"/>
      <c r="AK340" s="49"/>
      <c r="AL340" s="40">
        <f t="shared" si="30"/>
        <v>0</v>
      </c>
      <c r="AM340" s="37">
        <f t="shared" si="31"/>
        <v>0</v>
      </c>
      <c r="AN340" s="37">
        <f t="shared" si="32"/>
        <v>0</v>
      </c>
      <c r="AO340" s="38" t="e">
        <f t="shared" si="33"/>
        <v>#DIV/0!</v>
      </c>
      <c r="AP340" s="38" t="e">
        <f t="shared" si="34"/>
        <v>#DIV/0!</v>
      </c>
      <c r="AQ340" s="39" t="e">
        <f t="shared" si="35"/>
        <v>#DIV/0!</v>
      </c>
    </row>
    <row r="341" spans="1:43" ht="20.100000000000001" customHeight="1" x14ac:dyDescent="0.25">
      <c r="A341" s="8">
        <v>339</v>
      </c>
      <c r="B341" s="48"/>
      <c r="C341" s="48"/>
      <c r="D341" s="48"/>
      <c r="E341" s="49"/>
      <c r="F341" s="49"/>
      <c r="G341" s="49"/>
      <c r="H341" s="49"/>
      <c r="I341" s="49"/>
      <c r="J341" s="49"/>
      <c r="K341" s="49"/>
      <c r="L341" s="49"/>
      <c r="M341" s="49"/>
      <c r="N341" s="49"/>
      <c r="O341" s="49"/>
      <c r="P341" s="49"/>
      <c r="Q341" s="49"/>
      <c r="R341" s="49"/>
      <c r="S341" s="49"/>
      <c r="T341" s="49"/>
      <c r="U341" s="49"/>
      <c r="V341" s="49"/>
      <c r="W341" s="49"/>
      <c r="X341" s="49"/>
      <c r="Y341" s="49"/>
      <c r="Z341" s="49"/>
      <c r="AA341" s="49"/>
      <c r="AB341" s="49"/>
      <c r="AC341" s="49"/>
      <c r="AD341" s="49"/>
      <c r="AE341" s="49"/>
      <c r="AF341" s="49"/>
      <c r="AG341" s="49"/>
      <c r="AH341" s="49"/>
      <c r="AI341" s="49"/>
      <c r="AJ341" s="49"/>
      <c r="AK341" s="49"/>
      <c r="AL341" s="40">
        <f t="shared" si="30"/>
        <v>0</v>
      </c>
      <c r="AM341" s="37">
        <f t="shared" si="31"/>
        <v>0</v>
      </c>
      <c r="AN341" s="37">
        <f t="shared" si="32"/>
        <v>0</v>
      </c>
      <c r="AO341" s="38" t="e">
        <f t="shared" si="33"/>
        <v>#DIV/0!</v>
      </c>
      <c r="AP341" s="38" t="e">
        <f t="shared" si="34"/>
        <v>#DIV/0!</v>
      </c>
      <c r="AQ341" s="39" t="e">
        <f t="shared" si="35"/>
        <v>#DIV/0!</v>
      </c>
    </row>
    <row r="342" spans="1:43" ht="20.100000000000001" customHeight="1" x14ac:dyDescent="0.25">
      <c r="A342" s="8">
        <v>340</v>
      </c>
      <c r="B342" s="48"/>
      <c r="C342" s="48"/>
      <c r="D342" s="48"/>
      <c r="E342" s="49"/>
      <c r="F342" s="49"/>
      <c r="G342" s="49"/>
      <c r="H342" s="49"/>
      <c r="I342" s="49"/>
      <c r="J342" s="49"/>
      <c r="K342" s="49"/>
      <c r="L342" s="49"/>
      <c r="M342" s="49"/>
      <c r="N342" s="49"/>
      <c r="O342" s="49"/>
      <c r="P342" s="49"/>
      <c r="Q342" s="49"/>
      <c r="R342" s="49"/>
      <c r="S342" s="49"/>
      <c r="T342" s="49"/>
      <c r="U342" s="49"/>
      <c r="V342" s="49"/>
      <c r="W342" s="49"/>
      <c r="X342" s="49"/>
      <c r="Y342" s="49"/>
      <c r="Z342" s="49"/>
      <c r="AA342" s="49"/>
      <c r="AB342" s="49"/>
      <c r="AC342" s="49"/>
      <c r="AD342" s="49"/>
      <c r="AE342" s="49"/>
      <c r="AF342" s="49"/>
      <c r="AG342" s="49"/>
      <c r="AH342" s="49"/>
      <c r="AI342" s="49"/>
      <c r="AJ342" s="49"/>
      <c r="AK342" s="49"/>
      <c r="AL342" s="40">
        <f t="shared" si="30"/>
        <v>0</v>
      </c>
      <c r="AM342" s="37">
        <f t="shared" si="31"/>
        <v>0</v>
      </c>
      <c r="AN342" s="37">
        <f t="shared" si="32"/>
        <v>0</v>
      </c>
      <c r="AO342" s="38" t="e">
        <f t="shared" si="33"/>
        <v>#DIV/0!</v>
      </c>
      <c r="AP342" s="38" t="e">
        <f t="shared" si="34"/>
        <v>#DIV/0!</v>
      </c>
      <c r="AQ342" s="39" t="e">
        <f t="shared" si="35"/>
        <v>#DIV/0!</v>
      </c>
    </row>
    <row r="343" spans="1:43" ht="20.100000000000001" customHeight="1" x14ac:dyDescent="0.25">
      <c r="A343" s="8">
        <v>341</v>
      </c>
      <c r="B343" s="48"/>
      <c r="C343" s="48"/>
      <c r="D343" s="48"/>
      <c r="E343" s="49"/>
      <c r="F343" s="49"/>
      <c r="G343" s="49"/>
      <c r="H343" s="49"/>
      <c r="I343" s="49"/>
      <c r="J343" s="49"/>
      <c r="K343" s="49"/>
      <c r="L343" s="49"/>
      <c r="M343" s="49"/>
      <c r="N343" s="49"/>
      <c r="O343" s="49"/>
      <c r="P343" s="49"/>
      <c r="Q343" s="49"/>
      <c r="R343" s="49"/>
      <c r="S343" s="49"/>
      <c r="T343" s="49"/>
      <c r="U343" s="49"/>
      <c r="V343" s="49"/>
      <c r="W343" s="49"/>
      <c r="X343" s="49"/>
      <c r="Y343" s="49"/>
      <c r="Z343" s="49"/>
      <c r="AA343" s="49"/>
      <c r="AB343" s="49"/>
      <c r="AC343" s="49"/>
      <c r="AD343" s="49"/>
      <c r="AE343" s="49"/>
      <c r="AF343" s="49"/>
      <c r="AG343" s="49"/>
      <c r="AH343" s="49"/>
      <c r="AI343" s="49"/>
      <c r="AJ343" s="49"/>
      <c r="AK343" s="49"/>
      <c r="AL343" s="40">
        <f t="shared" si="30"/>
        <v>0</v>
      </c>
      <c r="AM343" s="37">
        <f t="shared" si="31"/>
        <v>0</v>
      </c>
      <c r="AN343" s="37">
        <f t="shared" si="32"/>
        <v>0</v>
      </c>
      <c r="AO343" s="38" t="e">
        <f t="shared" si="33"/>
        <v>#DIV/0!</v>
      </c>
      <c r="AP343" s="38" t="e">
        <f t="shared" si="34"/>
        <v>#DIV/0!</v>
      </c>
      <c r="AQ343" s="39" t="e">
        <f t="shared" si="35"/>
        <v>#DIV/0!</v>
      </c>
    </row>
    <row r="344" spans="1:43" ht="20.100000000000001" customHeight="1" x14ac:dyDescent="0.25">
      <c r="A344" s="8">
        <v>342</v>
      </c>
      <c r="B344" s="48"/>
      <c r="C344" s="48"/>
      <c r="D344" s="48"/>
      <c r="E344" s="49"/>
      <c r="F344" s="49"/>
      <c r="G344" s="49"/>
      <c r="H344" s="49"/>
      <c r="I344" s="49"/>
      <c r="J344" s="49"/>
      <c r="K344" s="49"/>
      <c r="L344" s="49"/>
      <c r="M344" s="49"/>
      <c r="N344" s="49"/>
      <c r="O344" s="49"/>
      <c r="P344" s="49"/>
      <c r="Q344" s="49"/>
      <c r="R344" s="49"/>
      <c r="S344" s="49"/>
      <c r="T344" s="49"/>
      <c r="U344" s="49"/>
      <c r="V344" s="49"/>
      <c r="W344" s="49"/>
      <c r="X344" s="49"/>
      <c r="Y344" s="49"/>
      <c r="Z344" s="49"/>
      <c r="AA344" s="49"/>
      <c r="AB344" s="49"/>
      <c r="AC344" s="49"/>
      <c r="AD344" s="49"/>
      <c r="AE344" s="49"/>
      <c r="AF344" s="49"/>
      <c r="AG344" s="49"/>
      <c r="AH344" s="49"/>
      <c r="AI344" s="49"/>
      <c r="AJ344" s="49"/>
      <c r="AK344" s="49"/>
      <c r="AL344" s="40">
        <f t="shared" si="30"/>
        <v>0</v>
      </c>
      <c r="AM344" s="37">
        <f t="shared" si="31"/>
        <v>0</v>
      </c>
      <c r="AN344" s="37">
        <f t="shared" si="32"/>
        <v>0</v>
      </c>
      <c r="AO344" s="38" t="e">
        <f t="shared" si="33"/>
        <v>#DIV/0!</v>
      </c>
      <c r="AP344" s="38" t="e">
        <f t="shared" si="34"/>
        <v>#DIV/0!</v>
      </c>
      <c r="AQ344" s="39" t="e">
        <f t="shared" si="35"/>
        <v>#DIV/0!</v>
      </c>
    </row>
    <row r="345" spans="1:43" ht="20.100000000000001" customHeight="1" x14ac:dyDescent="0.25">
      <c r="A345" s="8">
        <v>343</v>
      </c>
      <c r="B345" s="48"/>
      <c r="C345" s="48"/>
      <c r="D345" s="48"/>
      <c r="E345" s="49"/>
      <c r="F345" s="49"/>
      <c r="G345" s="49"/>
      <c r="H345" s="49"/>
      <c r="I345" s="49"/>
      <c r="J345" s="49"/>
      <c r="K345" s="49"/>
      <c r="L345" s="49"/>
      <c r="M345" s="49"/>
      <c r="N345" s="49"/>
      <c r="O345" s="49"/>
      <c r="P345" s="49"/>
      <c r="Q345" s="49"/>
      <c r="R345" s="49"/>
      <c r="S345" s="49"/>
      <c r="T345" s="49"/>
      <c r="U345" s="49"/>
      <c r="V345" s="49"/>
      <c r="W345" s="49"/>
      <c r="X345" s="49"/>
      <c r="Y345" s="49"/>
      <c r="Z345" s="49"/>
      <c r="AA345" s="49"/>
      <c r="AB345" s="49"/>
      <c r="AC345" s="49"/>
      <c r="AD345" s="49"/>
      <c r="AE345" s="49"/>
      <c r="AF345" s="49"/>
      <c r="AG345" s="49"/>
      <c r="AH345" s="49"/>
      <c r="AI345" s="49"/>
      <c r="AJ345" s="49"/>
      <c r="AK345" s="49"/>
      <c r="AL345" s="40">
        <f t="shared" si="30"/>
        <v>0</v>
      </c>
      <c r="AM345" s="37">
        <f t="shared" si="31"/>
        <v>0</v>
      </c>
      <c r="AN345" s="37">
        <f t="shared" si="32"/>
        <v>0</v>
      </c>
      <c r="AO345" s="38" t="e">
        <f t="shared" si="33"/>
        <v>#DIV/0!</v>
      </c>
      <c r="AP345" s="38" t="e">
        <f t="shared" si="34"/>
        <v>#DIV/0!</v>
      </c>
      <c r="AQ345" s="39" t="e">
        <f t="shared" si="35"/>
        <v>#DIV/0!</v>
      </c>
    </row>
    <row r="346" spans="1:43" ht="20.100000000000001" customHeight="1" x14ac:dyDescent="0.25">
      <c r="A346" s="8">
        <v>344</v>
      </c>
      <c r="B346" s="48"/>
      <c r="C346" s="48"/>
      <c r="D346" s="48"/>
      <c r="E346" s="49"/>
      <c r="F346" s="49"/>
      <c r="G346" s="49"/>
      <c r="H346" s="49"/>
      <c r="I346" s="49"/>
      <c r="J346" s="49"/>
      <c r="K346" s="49"/>
      <c r="L346" s="49"/>
      <c r="M346" s="49"/>
      <c r="N346" s="49"/>
      <c r="O346" s="49"/>
      <c r="P346" s="49"/>
      <c r="Q346" s="49"/>
      <c r="R346" s="49"/>
      <c r="S346" s="49"/>
      <c r="T346" s="49"/>
      <c r="U346" s="49"/>
      <c r="V346" s="49"/>
      <c r="W346" s="49"/>
      <c r="X346" s="49"/>
      <c r="Y346" s="49"/>
      <c r="Z346" s="49"/>
      <c r="AA346" s="49"/>
      <c r="AB346" s="49"/>
      <c r="AC346" s="49"/>
      <c r="AD346" s="49"/>
      <c r="AE346" s="49"/>
      <c r="AF346" s="49"/>
      <c r="AG346" s="49"/>
      <c r="AH346" s="49"/>
      <c r="AI346" s="49"/>
      <c r="AJ346" s="49"/>
      <c r="AK346" s="49"/>
      <c r="AL346" s="40">
        <f t="shared" si="30"/>
        <v>0</v>
      </c>
      <c r="AM346" s="37">
        <f t="shared" si="31"/>
        <v>0</v>
      </c>
      <c r="AN346" s="37">
        <f t="shared" si="32"/>
        <v>0</v>
      </c>
      <c r="AO346" s="38" t="e">
        <f t="shared" si="33"/>
        <v>#DIV/0!</v>
      </c>
      <c r="AP346" s="38" t="e">
        <f t="shared" si="34"/>
        <v>#DIV/0!</v>
      </c>
      <c r="AQ346" s="39" t="e">
        <f t="shared" si="35"/>
        <v>#DIV/0!</v>
      </c>
    </row>
    <row r="347" spans="1:43" ht="20.100000000000001" customHeight="1" x14ac:dyDescent="0.25">
      <c r="A347" s="8">
        <v>345</v>
      </c>
      <c r="B347" s="48"/>
      <c r="C347" s="48"/>
      <c r="D347" s="48"/>
      <c r="E347" s="49"/>
      <c r="F347" s="49"/>
      <c r="G347" s="49"/>
      <c r="H347" s="49"/>
      <c r="I347" s="49"/>
      <c r="J347" s="49"/>
      <c r="K347" s="49"/>
      <c r="L347" s="49"/>
      <c r="M347" s="49"/>
      <c r="N347" s="49"/>
      <c r="O347" s="49"/>
      <c r="P347" s="49"/>
      <c r="Q347" s="49"/>
      <c r="R347" s="49"/>
      <c r="S347" s="49"/>
      <c r="T347" s="49"/>
      <c r="U347" s="49"/>
      <c r="V347" s="49"/>
      <c r="W347" s="49"/>
      <c r="X347" s="49"/>
      <c r="Y347" s="49"/>
      <c r="Z347" s="49"/>
      <c r="AA347" s="49"/>
      <c r="AB347" s="49"/>
      <c r="AC347" s="49"/>
      <c r="AD347" s="49"/>
      <c r="AE347" s="49"/>
      <c r="AF347" s="49"/>
      <c r="AG347" s="49"/>
      <c r="AH347" s="49"/>
      <c r="AI347" s="49"/>
      <c r="AJ347" s="49"/>
      <c r="AK347" s="49"/>
      <c r="AL347" s="40">
        <f t="shared" si="30"/>
        <v>0</v>
      </c>
      <c r="AM347" s="37">
        <f t="shared" si="31"/>
        <v>0</v>
      </c>
      <c r="AN347" s="37">
        <f t="shared" si="32"/>
        <v>0</v>
      </c>
      <c r="AO347" s="38" t="e">
        <f t="shared" si="33"/>
        <v>#DIV/0!</v>
      </c>
      <c r="AP347" s="38" t="e">
        <f t="shared" si="34"/>
        <v>#DIV/0!</v>
      </c>
      <c r="AQ347" s="39" t="e">
        <f t="shared" si="35"/>
        <v>#DIV/0!</v>
      </c>
    </row>
    <row r="348" spans="1:43" ht="20.100000000000001" customHeight="1" x14ac:dyDescent="0.25">
      <c r="A348" s="8">
        <v>346</v>
      </c>
      <c r="B348" s="48"/>
      <c r="C348" s="48"/>
      <c r="D348" s="48"/>
      <c r="E348" s="49"/>
      <c r="F348" s="49"/>
      <c r="G348" s="49"/>
      <c r="H348" s="49"/>
      <c r="I348" s="49"/>
      <c r="J348" s="49"/>
      <c r="K348" s="49"/>
      <c r="L348" s="49"/>
      <c r="M348" s="49"/>
      <c r="N348" s="49"/>
      <c r="O348" s="49"/>
      <c r="P348" s="49"/>
      <c r="Q348" s="49"/>
      <c r="R348" s="49"/>
      <c r="S348" s="49"/>
      <c r="T348" s="49"/>
      <c r="U348" s="49"/>
      <c r="V348" s="49"/>
      <c r="W348" s="49"/>
      <c r="X348" s="49"/>
      <c r="Y348" s="49"/>
      <c r="Z348" s="49"/>
      <c r="AA348" s="49"/>
      <c r="AB348" s="49"/>
      <c r="AC348" s="49"/>
      <c r="AD348" s="49"/>
      <c r="AE348" s="49"/>
      <c r="AF348" s="49"/>
      <c r="AG348" s="49"/>
      <c r="AH348" s="49"/>
      <c r="AI348" s="49"/>
      <c r="AJ348" s="49"/>
      <c r="AK348" s="49"/>
      <c r="AL348" s="40">
        <f t="shared" si="30"/>
        <v>0</v>
      </c>
      <c r="AM348" s="37">
        <f t="shared" si="31"/>
        <v>0</v>
      </c>
      <c r="AN348" s="37">
        <f t="shared" si="32"/>
        <v>0</v>
      </c>
      <c r="AO348" s="38" t="e">
        <f t="shared" si="33"/>
        <v>#DIV/0!</v>
      </c>
      <c r="AP348" s="38" t="e">
        <f t="shared" si="34"/>
        <v>#DIV/0!</v>
      </c>
      <c r="AQ348" s="39" t="e">
        <f t="shared" si="35"/>
        <v>#DIV/0!</v>
      </c>
    </row>
    <row r="349" spans="1:43" ht="20.100000000000001" customHeight="1" x14ac:dyDescent="0.25">
      <c r="A349" s="8">
        <v>347</v>
      </c>
      <c r="B349" s="48"/>
      <c r="C349" s="48"/>
      <c r="D349" s="48"/>
      <c r="E349" s="49"/>
      <c r="F349" s="49"/>
      <c r="G349" s="49"/>
      <c r="H349" s="49"/>
      <c r="I349" s="49"/>
      <c r="J349" s="49"/>
      <c r="K349" s="49"/>
      <c r="L349" s="49"/>
      <c r="M349" s="49"/>
      <c r="N349" s="49"/>
      <c r="O349" s="49"/>
      <c r="P349" s="49"/>
      <c r="Q349" s="49"/>
      <c r="R349" s="49"/>
      <c r="S349" s="49"/>
      <c r="T349" s="49"/>
      <c r="U349" s="49"/>
      <c r="V349" s="49"/>
      <c r="W349" s="49"/>
      <c r="X349" s="49"/>
      <c r="Y349" s="49"/>
      <c r="Z349" s="49"/>
      <c r="AA349" s="49"/>
      <c r="AB349" s="49"/>
      <c r="AC349" s="49"/>
      <c r="AD349" s="49"/>
      <c r="AE349" s="49"/>
      <c r="AF349" s="49"/>
      <c r="AG349" s="49"/>
      <c r="AH349" s="49"/>
      <c r="AI349" s="49"/>
      <c r="AJ349" s="49"/>
      <c r="AK349" s="49"/>
      <c r="AL349" s="40">
        <f t="shared" si="30"/>
        <v>0</v>
      </c>
      <c r="AM349" s="37">
        <f t="shared" si="31"/>
        <v>0</v>
      </c>
      <c r="AN349" s="37">
        <f t="shared" si="32"/>
        <v>0</v>
      </c>
      <c r="AO349" s="38" t="e">
        <f t="shared" si="33"/>
        <v>#DIV/0!</v>
      </c>
      <c r="AP349" s="38" t="e">
        <f t="shared" si="34"/>
        <v>#DIV/0!</v>
      </c>
      <c r="AQ349" s="39" t="e">
        <f t="shared" si="35"/>
        <v>#DIV/0!</v>
      </c>
    </row>
    <row r="350" spans="1:43" ht="20.100000000000001" customHeight="1" x14ac:dyDescent="0.25">
      <c r="A350" s="8">
        <v>348</v>
      </c>
      <c r="B350" s="48"/>
      <c r="C350" s="48"/>
      <c r="D350" s="48"/>
      <c r="E350" s="49"/>
      <c r="F350" s="49"/>
      <c r="G350" s="49"/>
      <c r="H350" s="49"/>
      <c r="I350" s="49"/>
      <c r="J350" s="49"/>
      <c r="K350" s="49"/>
      <c r="L350" s="49"/>
      <c r="M350" s="49"/>
      <c r="N350" s="49"/>
      <c r="O350" s="49"/>
      <c r="P350" s="49"/>
      <c r="Q350" s="49"/>
      <c r="R350" s="49"/>
      <c r="S350" s="49"/>
      <c r="T350" s="49"/>
      <c r="U350" s="49"/>
      <c r="V350" s="49"/>
      <c r="W350" s="49"/>
      <c r="X350" s="49"/>
      <c r="Y350" s="49"/>
      <c r="Z350" s="49"/>
      <c r="AA350" s="49"/>
      <c r="AB350" s="49"/>
      <c r="AC350" s="49"/>
      <c r="AD350" s="49"/>
      <c r="AE350" s="49"/>
      <c r="AF350" s="49"/>
      <c r="AG350" s="49"/>
      <c r="AH350" s="49"/>
      <c r="AI350" s="49"/>
      <c r="AJ350" s="49"/>
      <c r="AK350" s="49"/>
      <c r="AL350" s="40">
        <f t="shared" si="30"/>
        <v>0</v>
      </c>
      <c r="AM350" s="37">
        <f t="shared" si="31"/>
        <v>0</v>
      </c>
      <c r="AN350" s="37">
        <f t="shared" si="32"/>
        <v>0</v>
      </c>
      <c r="AO350" s="38" t="e">
        <f t="shared" si="33"/>
        <v>#DIV/0!</v>
      </c>
      <c r="AP350" s="38" t="e">
        <f t="shared" si="34"/>
        <v>#DIV/0!</v>
      </c>
      <c r="AQ350" s="39" t="e">
        <f t="shared" si="35"/>
        <v>#DIV/0!</v>
      </c>
    </row>
    <row r="351" spans="1:43" ht="20.100000000000001" customHeight="1" x14ac:dyDescent="0.25">
      <c r="A351" s="8">
        <v>349</v>
      </c>
      <c r="B351" s="48"/>
      <c r="C351" s="48"/>
      <c r="D351" s="48"/>
      <c r="E351" s="49"/>
      <c r="F351" s="49"/>
      <c r="G351" s="49"/>
      <c r="H351" s="49"/>
      <c r="I351" s="49"/>
      <c r="J351" s="49"/>
      <c r="K351" s="49"/>
      <c r="L351" s="49"/>
      <c r="M351" s="49"/>
      <c r="N351" s="49"/>
      <c r="O351" s="49"/>
      <c r="P351" s="49"/>
      <c r="Q351" s="49"/>
      <c r="R351" s="49"/>
      <c r="S351" s="49"/>
      <c r="T351" s="49"/>
      <c r="U351" s="49"/>
      <c r="V351" s="49"/>
      <c r="W351" s="49"/>
      <c r="X351" s="49"/>
      <c r="Y351" s="49"/>
      <c r="Z351" s="49"/>
      <c r="AA351" s="49"/>
      <c r="AB351" s="49"/>
      <c r="AC351" s="49"/>
      <c r="AD351" s="49"/>
      <c r="AE351" s="49"/>
      <c r="AF351" s="49"/>
      <c r="AG351" s="49"/>
      <c r="AH351" s="49"/>
      <c r="AI351" s="49"/>
      <c r="AJ351" s="49"/>
      <c r="AK351" s="49"/>
      <c r="AL351" s="40">
        <f t="shared" si="30"/>
        <v>0</v>
      </c>
      <c r="AM351" s="37">
        <f t="shared" si="31"/>
        <v>0</v>
      </c>
      <c r="AN351" s="37">
        <f t="shared" si="32"/>
        <v>0</v>
      </c>
      <c r="AO351" s="38" t="e">
        <f t="shared" si="33"/>
        <v>#DIV/0!</v>
      </c>
      <c r="AP351" s="38" t="e">
        <f t="shared" si="34"/>
        <v>#DIV/0!</v>
      </c>
      <c r="AQ351" s="39" t="e">
        <f t="shared" si="35"/>
        <v>#DIV/0!</v>
      </c>
    </row>
    <row r="352" spans="1:43" ht="20.100000000000001" customHeight="1" x14ac:dyDescent="0.25">
      <c r="A352" s="8">
        <v>350</v>
      </c>
      <c r="B352" s="48"/>
      <c r="C352" s="48"/>
      <c r="D352" s="48"/>
      <c r="E352" s="49"/>
      <c r="F352" s="49"/>
      <c r="G352" s="49"/>
      <c r="H352" s="49"/>
      <c r="I352" s="49"/>
      <c r="J352" s="49"/>
      <c r="K352" s="49"/>
      <c r="L352" s="49"/>
      <c r="M352" s="49"/>
      <c r="N352" s="49"/>
      <c r="O352" s="49"/>
      <c r="P352" s="49"/>
      <c r="Q352" s="49"/>
      <c r="R352" s="49"/>
      <c r="S352" s="49"/>
      <c r="T352" s="49"/>
      <c r="U352" s="49"/>
      <c r="V352" s="49"/>
      <c r="W352" s="49"/>
      <c r="X352" s="49"/>
      <c r="Y352" s="49"/>
      <c r="Z352" s="49"/>
      <c r="AA352" s="49"/>
      <c r="AB352" s="49"/>
      <c r="AC352" s="49"/>
      <c r="AD352" s="49"/>
      <c r="AE352" s="49"/>
      <c r="AF352" s="49"/>
      <c r="AG352" s="49"/>
      <c r="AH352" s="49"/>
      <c r="AI352" s="49"/>
      <c r="AJ352" s="49"/>
      <c r="AK352" s="49"/>
      <c r="AL352" s="40">
        <f t="shared" si="30"/>
        <v>0</v>
      </c>
      <c r="AM352" s="37">
        <f t="shared" si="31"/>
        <v>0</v>
      </c>
      <c r="AN352" s="37">
        <f t="shared" si="32"/>
        <v>0</v>
      </c>
      <c r="AO352" s="38" t="e">
        <f t="shared" si="33"/>
        <v>#DIV/0!</v>
      </c>
      <c r="AP352" s="38" t="e">
        <f t="shared" si="34"/>
        <v>#DIV/0!</v>
      </c>
      <c r="AQ352" s="39" t="e">
        <f t="shared" si="35"/>
        <v>#DIV/0!</v>
      </c>
    </row>
    <row r="353" spans="1:43" ht="20.100000000000001" customHeight="1" x14ac:dyDescent="0.25">
      <c r="A353" s="8">
        <v>351</v>
      </c>
      <c r="B353" s="48"/>
      <c r="C353" s="48"/>
      <c r="D353" s="48"/>
      <c r="E353" s="49"/>
      <c r="F353" s="49"/>
      <c r="G353" s="49"/>
      <c r="H353" s="49"/>
      <c r="I353" s="49"/>
      <c r="J353" s="49"/>
      <c r="K353" s="49"/>
      <c r="L353" s="49"/>
      <c r="M353" s="49"/>
      <c r="N353" s="49"/>
      <c r="O353" s="49"/>
      <c r="P353" s="49"/>
      <c r="Q353" s="49"/>
      <c r="R353" s="49"/>
      <c r="S353" s="49"/>
      <c r="T353" s="49"/>
      <c r="U353" s="49"/>
      <c r="V353" s="49"/>
      <c r="W353" s="49"/>
      <c r="X353" s="49"/>
      <c r="Y353" s="49"/>
      <c r="Z353" s="49"/>
      <c r="AA353" s="49"/>
      <c r="AB353" s="49"/>
      <c r="AC353" s="49"/>
      <c r="AD353" s="49"/>
      <c r="AE353" s="49"/>
      <c r="AF353" s="49"/>
      <c r="AG353" s="49"/>
      <c r="AH353" s="49"/>
      <c r="AI353" s="49"/>
      <c r="AJ353" s="49"/>
      <c r="AK353" s="49"/>
      <c r="AL353" s="40">
        <f t="shared" si="30"/>
        <v>0</v>
      </c>
      <c r="AM353" s="37">
        <f t="shared" si="31"/>
        <v>0</v>
      </c>
      <c r="AN353" s="37">
        <f t="shared" si="32"/>
        <v>0</v>
      </c>
      <c r="AO353" s="38" t="e">
        <f t="shared" si="33"/>
        <v>#DIV/0!</v>
      </c>
      <c r="AP353" s="38" t="e">
        <f t="shared" si="34"/>
        <v>#DIV/0!</v>
      </c>
      <c r="AQ353" s="39" t="e">
        <f t="shared" si="35"/>
        <v>#DIV/0!</v>
      </c>
    </row>
    <row r="354" spans="1:43" ht="20.100000000000001" customHeight="1" x14ac:dyDescent="0.25">
      <c r="A354" s="8">
        <v>352</v>
      </c>
      <c r="B354" s="48"/>
      <c r="C354" s="48"/>
      <c r="D354" s="48"/>
      <c r="E354" s="49"/>
      <c r="F354" s="49"/>
      <c r="G354" s="49"/>
      <c r="H354" s="49"/>
      <c r="I354" s="49"/>
      <c r="J354" s="49"/>
      <c r="K354" s="49"/>
      <c r="L354" s="49"/>
      <c r="M354" s="49"/>
      <c r="N354" s="49"/>
      <c r="O354" s="49"/>
      <c r="P354" s="49"/>
      <c r="Q354" s="49"/>
      <c r="R354" s="49"/>
      <c r="S354" s="49"/>
      <c r="T354" s="49"/>
      <c r="U354" s="49"/>
      <c r="V354" s="49"/>
      <c r="W354" s="49"/>
      <c r="X354" s="49"/>
      <c r="Y354" s="49"/>
      <c r="Z354" s="49"/>
      <c r="AA354" s="49"/>
      <c r="AB354" s="49"/>
      <c r="AC354" s="49"/>
      <c r="AD354" s="49"/>
      <c r="AE354" s="49"/>
      <c r="AF354" s="49"/>
      <c r="AG354" s="49"/>
      <c r="AH354" s="49"/>
      <c r="AI354" s="49"/>
      <c r="AJ354" s="49"/>
      <c r="AK354" s="49"/>
      <c r="AL354" s="40">
        <f t="shared" si="30"/>
        <v>0</v>
      </c>
      <c r="AM354" s="37">
        <f t="shared" si="31"/>
        <v>0</v>
      </c>
      <c r="AN354" s="37">
        <f t="shared" si="32"/>
        <v>0</v>
      </c>
      <c r="AO354" s="38" t="e">
        <f t="shared" si="33"/>
        <v>#DIV/0!</v>
      </c>
      <c r="AP354" s="38" t="e">
        <f t="shared" si="34"/>
        <v>#DIV/0!</v>
      </c>
      <c r="AQ354" s="39" t="e">
        <f t="shared" si="35"/>
        <v>#DIV/0!</v>
      </c>
    </row>
    <row r="355" spans="1:43" ht="20.100000000000001" customHeight="1" x14ac:dyDescent="0.25">
      <c r="A355" s="8">
        <v>353</v>
      </c>
      <c r="B355" s="48"/>
      <c r="C355" s="48"/>
      <c r="D355" s="48"/>
      <c r="E355" s="49"/>
      <c r="F355" s="49"/>
      <c r="G355" s="49"/>
      <c r="H355" s="49"/>
      <c r="I355" s="49"/>
      <c r="J355" s="49"/>
      <c r="K355" s="49"/>
      <c r="L355" s="49"/>
      <c r="M355" s="49"/>
      <c r="N355" s="49"/>
      <c r="O355" s="49"/>
      <c r="P355" s="49"/>
      <c r="Q355" s="49"/>
      <c r="R355" s="49"/>
      <c r="S355" s="49"/>
      <c r="T355" s="49"/>
      <c r="U355" s="49"/>
      <c r="V355" s="49"/>
      <c r="W355" s="49"/>
      <c r="X355" s="49"/>
      <c r="Y355" s="49"/>
      <c r="Z355" s="49"/>
      <c r="AA355" s="49"/>
      <c r="AB355" s="49"/>
      <c r="AC355" s="49"/>
      <c r="AD355" s="49"/>
      <c r="AE355" s="49"/>
      <c r="AF355" s="49"/>
      <c r="AG355" s="49"/>
      <c r="AH355" s="49"/>
      <c r="AI355" s="49"/>
      <c r="AJ355" s="49"/>
      <c r="AK355" s="49"/>
      <c r="AL355" s="40">
        <f t="shared" si="30"/>
        <v>0</v>
      </c>
      <c r="AM355" s="37">
        <f t="shared" si="31"/>
        <v>0</v>
      </c>
      <c r="AN355" s="37">
        <f t="shared" si="32"/>
        <v>0</v>
      </c>
      <c r="AO355" s="38" t="e">
        <f t="shared" si="33"/>
        <v>#DIV/0!</v>
      </c>
      <c r="AP355" s="38" t="e">
        <f t="shared" si="34"/>
        <v>#DIV/0!</v>
      </c>
      <c r="AQ355" s="39" t="e">
        <f t="shared" si="35"/>
        <v>#DIV/0!</v>
      </c>
    </row>
    <row r="356" spans="1:43" ht="20.100000000000001" customHeight="1" x14ac:dyDescent="0.25">
      <c r="A356" s="8">
        <v>354</v>
      </c>
      <c r="B356" s="48"/>
      <c r="C356" s="48"/>
      <c r="D356" s="48"/>
      <c r="E356" s="49"/>
      <c r="F356" s="49"/>
      <c r="G356" s="49"/>
      <c r="H356" s="49"/>
      <c r="I356" s="49"/>
      <c r="J356" s="49"/>
      <c r="K356" s="49"/>
      <c r="L356" s="49"/>
      <c r="M356" s="49"/>
      <c r="N356" s="49"/>
      <c r="O356" s="49"/>
      <c r="P356" s="49"/>
      <c r="Q356" s="49"/>
      <c r="R356" s="49"/>
      <c r="S356" s="49"/>
      <c r="T356" s="49"/>
      <c r="U356" s="49"/>
      <c r="V356" s="49"/>
      <c r="W356" s="49"/>
      <c r="X356" s="49"/>
      <c r="Y356" s="49"/>
      <c r="Z356" s="49"/>
      <c r="AA356" s="49"/>
      <c r="AB356" s="49"/>
      <c r="AC356" s="49"/>
      <c r="AD356" s="49"/>
      <c r="AE356" s="49"/>
      <c r="AF356" s="49"/>
      <c r="AG356" s="49"/>
      <c r="AH356" s="49"/>
      <c r="AI356" s="49"/>
      <c r="AJ356" s="49"/>
      <c r="AK356" s="49"/>
      <c r="AL356" s="40">
        <f t="shared" si="30"/>
        <v>0</v>
      </c>
      <c r="AM356" s="37">
        <f t="shared" si="31"/>
        <v>0</v>
      </c>
      <c r="AN356" s="37">
        <f t="shared" si="32"/>
        <v>0</v>
      </c>
      <c r="AO356" s="38" t="e">
        <f t="shared" si="33"/>
        <v>#DIV/0!</v>
      </c>
      <c r="AP356" s="38" t="e">
        <f t="shared" si="34"/>
        <v>#DIV/0!</v>
      </c>
      <c r="AQ356" s="39" t="e">
        <f t="shared" si="35"/>
        <v>#DIV/0!</v>
      </c>
    </row>
    <row r="357" spans="1:43" ht="20.100000000000001" customHeight="1" x14ac:dyDescent="0.25">
      <c r="A357" s="8">
        <v>355</v>
      </c>
      <c r="B357" s="48"/>
      <c r="C357" s="48"/>
      <c r="D357" s="48"/>
      <c r="E357" s="49"/>
      <c r="F357" s="49"/>
      <c r="G357" s="49"/>
      <c r="H357" s="49"/>
      <c r="I357" s="49"/>
      <c r="J357" s="49"/>
      <c r="K357" s="49"/>
      <c r="L357" s="49"/>
      <c r="M357" s="49"/>
      <c r="N357" s="49"/>
      <c r="O357" s="49"/>
      <c r="P357" s="49"/>
      <c r="Q357" s="49"/>
      <c r="R357" s="49"/>
      <c r="S357" s="49"/>
      <c r="T357" s="49"/>
      <c r="U357" s="49"/>
      <c r="V357" s="49"/>
      <c r="W357" s="49"/>
      <c r="X357" s="49"/>
      <c r="Y357" s="49"/>
      <c r="Z357" s="49"/>
      <c r="AA357" s="49"/>
      <c r="AB357" s="49"/>
      <c r="AC357" s="49"/>
      <c r="AD357" s="49"/>
      <c r="AE357" s="49"/>
      <c r="AF357" s="49"/>
      <c r="AG357" s="49"/>
      <c r="AH357" s="49"/>
      <c r="AI357" s="49"/>
      <c r="AJ357" s="49"/>
      <c r="AK357" s="49"/>
      <c r="AL357" s="40">
        <f t="shared" si="30"/>
        <v>0</v>
      </c>
      <c r="AM357" s="37">
        <f t="shared" si="31"/>
        <v>0</v>
      </c>
      <c r="AN357" s="37">
        <f t="shared" si="32"/>
        <v>0</v>
      </c>
      <c r="AO357" s="38" t="e">
        <f t="shared" si="33"/>
        <v>#DIV/0!</v>
      </c>
      <c r="AP357" s="38" t="e">
        <f t="shared" si="34"/>
        <v>#DIV/0!</v>
      </c>
      <c r="AQ357" s="39" t="e">
        <f t="shared" si="35"/>
        <v>#DIV/0!</v>
      </c>
    </row>
    <row r="358" spans="1:43" ht="20.100000000000001" customHeight="1" x14ac:dyDescent="0.25">
      <c r="A358" s="8">
        <v>356</v>
      </c>
      <c r="B358" s="48"/>
      <c r="C358" s="48"/>
      <c r="D358" s="48"/>
      <c r="E358" s="49"/>
      <c r="F358" s="49"/>
      <c r="G358" s="49"/>
      <c r="H358" s="49"/>
      <c r="I358" s="49"/>
      <c r="J358" s="49"/>
      <c r="K358" s="49"/>
      <c r="L358" s="49"/>
      <c r="M358" s="49"/>
      <c r="N358" s="49"/>
      <c r="O358" s="49"/>
      <c r="P358" s="49"/>
      <c r="Q358" s="49"/>
      <c r="R358" s="49"/>
      <c r="S358" s="49"/>
      <c r="T358" s="49"/>
      <c r="U358" s="49"/>
      <c r="V358" s="49"/>
      <c r="W358" s="49"/>
      <c r="X358" s="49"/>
      <c r="Y358" s="49"/>
      <c r="Z358" s="49"/>
      <c r="AA358" s="49"/>
      <c r="AB358" s="49"/>
      <c r="AC358" s="49"/>
      <c r="AD358" s="49"/>
      <c r="AE358" s="49"/>
      <c r="AF358" s="49"/>
      <c r="AG358" s="49"/>
      <c r="AH358" s="49"/>
      <c r="AI358" s="49"/>
      <c r="AJ358" s="49"/>
      <c r="AK358" s="49"/>
      <c r="AL358" s="40">
        <f t="shared" si="30"/>
        <v>0</v>
      </c>
      <c r="AM358" s="37">
        <f t="shared" si="31"/>
        <v>0</v>
      </c>
      <c r="AN358" s="37">
        <f t="shared" si="32"/>
        <v>0</v>
      </c>
      <c r="AO358" s="38" t="e">
        <f t="shared" si="33"/>
        <v>#DIV/0!</v>
      </c>
      <c r="AP358" s="38" t="e">
        <f t="shared" si="34"/>
        <v>#DIV/0!</v>
      </c>
      <c r="AQ358" s="39" t="e">
        <f t="shared" si="35"/>
        <v>#DIV/0!</v>
      </c>
    </row>
    <row r="359" spans="1:43" ht="20.100000000000001" customHeight="1" x14ac:dyDescent="0.25">
      <c r="A359" s="8">
        <v>357</v>
      </c>
      <c r="B359" s="48"/>
      <c r="C359" s="48"/>
      <c r="D359" s="48"/>
      <c r="E359" s="49"/>
      <c r="F359" s="49"/>
      <c r="G359" s="49"/>
      <c r="H359" s="49"/>
      <c r="I359" s="49"/>
      <c r="J359" s="49"/>
      <c r="K359" s="49"/>
      <c r="L359" s="49"/>
      <c r="M359" s="49"/>
      <c r="N359" s="49"/>
      <c r="O359" s="49"/>
      <c r="P359" s="49"/>
      <c r="Q359" s="49"/>
      <c r="R359" s="49"/>
      <c r="S359" s="49"/>
      <c r="T359" s="49"/>
      <c r="U359" s="49"/>
      <c r="V359" s="49"/>
      <c r="W359" s="49"/>
      <c r="X359" s="49"/>
      <c r="Y359" s="49"/>
      <c r="Z359" s="49"/>
      <c r="AA359" s="49"/>
      <c r="AB359" s="49"/>
      <c r="AC359" s="49"/>
      <c r="AD359" s="49"/>
      <c r="AE359" s="49"/>
      <c r="AF359" s="49"/>
      <c r="AG359" s="49"/>
      <c r="AH359" s="49"/>
      <c r="AI359" s="49"/>
      <c r="AJ359" s="49"/>
      <c r="AK359" s="49"/>
      <c r="AL359" s="40">
        <f t="shared" si="30"/>
        <v>0</v>
      </c>
      <c r="AM359" s="37">
        <f t="shared" si="31"/>
        <v>0</v>
      </c>
      <c r="AN359" s="37">
        <f t="shared" si="32"/>
        <v>0</v>
      </c>
      <c r="AO359" s="38" t="e">
        <f t="shared" si="33"/>
        <v>#DIV/0!</v>
      </c>
      <c r="AP359" s="38" t="e">
        <f t="shared" si="34"/>
        <v>#DIV/0!</v>
      </c>
      <c r="AQ359" s="39" t="e">
        <f t="shared" si="35"/>
        <v>#DIV/0!</v>
      </c>
    </row>
    <row r="360" spans="1:43" ht="20.100000000000001" customHeight="1" x14ac:dyDescent="0.25">
      <c r="A360" s="8">
        <v>358</v>
      </c>
      <c r="B360" s="48"/>
      <c r="C360" s="48"/>
      <c r="D360" s="48"/>
      <c r="E360" s="49"/>
      <c r="F360" s="49"/>
      <c r="G360" s="49"/>
      <c r="H360" s="49"/>
      <c r="I360" s="49"/>
      <c r="J360" s="49"/>
      <c r="K360" s="49"/>
      <c r="L360" s="49"/>
      <c r="M360" s="49"/>
      <c r="N360" s="49"/>
      <c r="O360" s="49"/>
      <c r="P360" s="49"/>
      <c r="Q360" s="49"/>
      <c r="R360" s="49"/>
      <c r="S360" s="49"/>
      <c r="T360" s="49"/>
      <c r="U360" s="49"/>
      <c r="V360" s="49"/>
      <c r="W360" s="49"/>
      <c r="X360" s="49"/>
      <c r="Y360" s="49"/>
      <c r="Z360" s="49"/>
      <c r="AA360" s="49"/>
      <c r="AB360" s="49"/>
      <c r="AC360" s="49"/>
      <c r="AD360" s="49"/>
      <c r="AE360" s="49"/>
      <c r="AF360" s="49"/>
      <c r="AG360" s="49"/>
      <c r="AH360" s="49"/>
      <c r="AI360" s="49"/>
      <c r="AJ360" s="49"/>
      <c r="AK360" s="49"/>
      <c r="AL360" s="40">
        <f t="shared" si="30"/>
        <v>0</v>
      </c>
      <c r="AM360" s="37">
        <f t="shared" si="31"/>
        <v>0</v>
      </c>
      <c r="AN360" s="37">
        <f t="shared" si="32"/>
        <v>0</v>
      </c>
      <c r="AO360" s="38" t="e">
        <f t="shared" si="33"/>
        <v>#DIV/0!</v>
      </c>
      <c r="AP360" s="38" t="e">
        <f t="shared" si="34"/>
        <v>#DIV/0!</v>
      </c>
      <c r="AQ360" s="39" t="e">
        <f t="shared" si="35"/>
        <v>#DIV/0!</v>
      </c>
    </row>
    <row r="361" spans="1:43" ht="20.100000000000001" customHeight="1" x14ac:dyDescent="0.25">
      <c r="A361" s="8">
        <v>359</v>
      </c>
      <c r="B361" s="48"/>
      <c r="C361" s="48"/>
      <c r="D361" s="48"/>
      <c r="E361" s="49"/>
      <c r="F361" s="49"/>
      <c r="G361" s="49"/>
      <c r="H361" s="49"/>
      <c r="I361" s="49"/>
      <c r="J361" s="49"/>
      <c r="K361" s="49"/>
      <c r="L361" s="49"/>
      <c r="M361" s="49"/>
      <c r="N361" s="49"/>
      <c r="O361" s="49"/>
      <c r="P361" s="49"/>
      <c r="Q361" s="49"/>
      <c r="R361" s="49"/>
      <c r="S361" s="49"/>
      <c r="T361" s="49"/>
      <c r="U361" s="49"/>
      <c r="V361" s="49"/>
      <c r="W361" s="49"/>
      <c r="X361" s="49"/>
      <c r="Y361" s="49"/>
      <c r="Z361" s="49"/>
      <c r="AA361" s="49"/>
      <c r="AB361" s="49"/>
      <c r="AC361" s="49"/>
      <c r="AD361" s="49"/>
      <c r="AE361" s="49"/>
      <c r="AF361" s="49"/>
      <c r="AG361" s="49"/>
      <c r="AH361" s="49"/>
      <c r="AI361" s="49"/>
      <c r="AJ361" s="49"/>
      <c r="AK361" s="49"/>
      <c r="AL361" s="40">
        <f t="shared" si="30"/>
        <v>0</v>
      </c>
      <c r="AM361" s="37">
        <f t="shared" si="31"/>
        <v>0</v>
      </c>
      <c r="AN361" s="37">
        <f t="shared" si="32"/>
        <v>0</v>
      </c>
      <c r="AO361" s="38" t="e">
        <f t="shared" si="33"/>
        <v>#DIV/0!</v>
      </c>
      <c r="AP361" s="38" t="e">
        <f t="shared" si="34"/>
        <v>#DIV/0!</v>
      </c>
      <c r="AQ361" s="39" t="e">
        <f t="shared" si="35"/>
        <v>#DIV/0!</v>
      </c>
    </row>
    <row r="362" spans="1:43" ht="20.100000000000001" customHeight="1" x14ac:dyDescent="0.25">
      <c r="A362" s="8">
        <v>360</v>
      </c>
      <c r="B362" s="48"/>
      <c r="C362" s="48"/>
      <c r="D362" s="48"/>
      <c r="E362" s="49"/>
      <c r="F362" s="49"/>
      <c r="G362" s="49"/>
      <c r="H362" s="49"/>
      <c r="I362" s="49"/>
      <c r="J362" s="49"/>
      <c r="K362" s="49"/>
      <c r="L362" s="49"/>
      <c r="M362" s="49"/>
      <c r="N362" s="49"/>
      <c r="O362" s="49"/>
      <c r="P362" s="49"/>
      <c r="Q362" s="49"/>
      <c r="R362" s="49"/>
      <c r="S362" s="49"/>
      <c r="T362" s="49"/>
      <c r="U362" s="49"/>
      <c r="V362" s="49"/>
      <c r="W362" s="49"/>
      <c r="X362" s="49"/>
      <c r="Y362" s="49"/>
      <c r="Z362" s="49"/>
      <c r="AA362" s="49"/>
      <c r="AB362" s="49"/>
      <c r="AC362" s="49"/>
      <c r="AD362" s="49"/>
      <c r="AE362" s="49"/>
      <c r="AF362" s="49"/>
      <c r="AG362" s="49"/>
      <c r="AH362" s="49"/>
      <c r="AI362" s="49"/>
      <c r="AJ362" s="49"/>
      <c r="AK362" s="49"/>
      <c r="AL362" s="40">
        <f t="shared" si="30"/>
        <v>0</v>
      </c>
      <c r="AM362" s="37">
        <f t="shared" si="31"/>
        <v>0</v>
      </c>
      <c r="AN362" s="37">
        <f t="shared" si="32"/>
        <v>0</v>
      </c>
      <c r="AO362" s="38" t="e">
        <f t="shared" si="33"/>
        <v>#DIV/0!</v>
      </c>
      <c r="AP362" s="38" t="e">
        <f t="shared" si="34"/>
        <v>#DIV/0!</v>
      </c>
      <c r="AQ362" s="39" t="e">
        <f t="shared" si="35"/>
        <v>#DIV/0!</v>
      </c>
    </row>
    <row r="363" spans="1:43" ht="20.100000000000001" customHeight="1" x14ac:dyDescent="0.25">
      <c r="A363" s="8">
        <v>361</v>
      </c>
      <c r="B363" s="48"/>
      <c r="C363" s="48"/>
      <c r="D363" s="48"/>
      <c r="E363" s="49"/>
      <c r="F363" s="49"/>
      <c r="G363" s="49"/>
      <c r="H363" s="49"/>
      <c r="I363" s="49"/>
      <c r="J363" s="49"/>
      <c r="K363" s="49"/>
      <c r="L363" s="49"/>
      <c r="M363" s="49"/>
      <c r="N363" s="49"/>
      <c r="O363" s="49"/>
      <c r="P363" s="49"/>
      <c r="Q363" s="49"/>
      <c r="R363" s="49"/>
      <c r="S363" s="49"/>
      <c r="T363" s="49"/>
      <c r="U363" s="49"/>
      <c r="V363" s="49"/>
      <c r="W363" s="49"/>
      <c r="X363" s="49"/>
      <c r="Y363" s="49"/>
      <c r="Z363" s="49"/>
      <c r="AA363" s="49"/>
      <c r="AB363" s="49"/>
      <c r="AC363" s="49"/>
      <c r="AD363" s="49"/>
      <c r="AE363" s="49"/>
      <c r="AF363" s="49"/>
      <c r="AG363" s="49"/>
      <c r="AH363" s="49"/>
      <c r="AI363" s="49"/>
      <c r="AJ363" s="49"/>
      <c r="AK363" s="49"/>
      <c r="AL363" s="40">
        <f t="shared" si="30"/>
        <v>0</v>
      </c>
      <c r="AM363" s="37">
        <f t="shared" si="31"/>
        <v>0</v>
      </c>
      <c r="AN363" s="37">
        <f t="shared" si="32"/>
        <v>0</v>
      </c>
      <c r="AO363" s="38" t="e">
        <f t="shared" si="33"/>
        <v>#DIV/0!</v>
      </c>
      <c r="AP363" s="38" t="e">
        <f t="shared" si="34"/>
        <v>#DIV/0!</v>
      </c>
      <c r="AQ363" s="39" t="e">
        <f t="shared" si="35"/>
        <v>#DIV/0!</v>
      </c>
    </row>
    <row r="364" spans="1:43" ht="20.100000000000001" customHeight="1" x14ac:dyDescent="0.25">
      <c r="A364" s="8">
        <v>362</v>
      </c>
      <c r="B364" s="48"/>
      <c r="C364" s="48"/>
      <c r="D364" s="48"/>
      <c r="E364" s="49"/>
      <c r="F364" s="49"/>
      <c r="G364" s="49"/>
      <c r="H364" s="49"/>
      <c r="I364" s="49"/>
      <c r="J364" s="49"/>
      <c r="K364" s="49"/>
      <c r="L364" s="49"/>
      <c r="M364" s="49"/>
      <c r="N364" s="49"/>
      <c r="O364" s="49"/>
      <c r="P364" s="49"/>
      <c r="Q364" s="49"/>
      <c r="R364" s="49"/>
      <c r="S364" s="49"/>
      <c r="T364" s="49"/>
      <c r="U364" s="49"/>
      <c r="V364" s="49"/>
      <c r="W364" s="49"/>
      <c r="X364" s="49"/>
      <c r="Y364" s="49"/>
      <c r="Z364" s="49"/>
      <c r="AA364" s="49"/>
      <c r="AB364" s="49"/>
      <c r="AC364" s="49"/>
      <c r="AD364" s="49"/>
      <c r="AE364" s="49"/>
      <c r="AF364" s="49"/>
      <c r="AG364" s="49"/>
      <c r="AH364" s="49"/>
      <c r="AI364" s="49"/>
      <c r="AJ364" s="49"/>
      <c r="AK364" s="49"/>
      <c r="AL364" s="40">
        <f t="shared" si="30"/>
        <v>0</v>
      </c>
      <c r="AM364" s="37">
        <f t="shared" si="31"/>
        <v>0</v>
      </c>
      <c r="AN364" s="37">
        <f t="shared" si="32"/>
        <v>0</v>
      </c>
      <c r="AO364" s="38" t="e">
        <f t="shared" si="33"/>
        <v>#DIV/0!</v>
      </c>
      <c r="AP364" s="38" t="e">
        <f t="shared" si="34"/>
        <v>#DIV/0!</v>
      </c>
      <c r="AQ364" s="39" t="e">
        <f t="shared" si="35"/>
        <v>#DIV/0!</v>
      </c>
    </row>
    <row r="365" spans="1:43" ht="20.100000000000001" customHeight="1" x14ac:dyDescent="0.25">
      <c r="A365" s="8">
        <v>363</v>
      </c>
      <c r="B365" s="48"/>
      <c r="C365" s="48"/>
      <c r="D365" s="48"/>
      <c r="E365" s="49"/>
      <c r="F365" s="49"/>
      <c r="G365" s="49"/>
      <c r="H365" s="49"/>
      <c r="I365" s="49"/>
      <c r="J365" s="49"/>
      <c r="K365" s="49"/>
      <c r="L365" s="49"/>
      <c r="M365" s="49"/>
      <c r="N365" s="49"/>
      <c r="O365" s="49"/>
      <c r="P365" s="49"/>
      <c r="Q365" s="49"/>
      <c r="R365" s="49"/>
      <c r="S365" s="49"/>
      <c r="T365" s="49"/>
      <c r="U365" s="49"/>
      <c r="V365" s="49"/>
      <c r="W365" s="49"/>
      <c r="X365" s="49"/>
      <c r="Y365" s="49"/>
      <c r="Z365" s="49"/>
      <c r="AA365" s="49"/>
      <c r="AB365" s="49"/>
      <c r="AC365" s="49"/>
      <c r="AD365" s="49"/>
      <c r="AE365" s="49"/>
      <c r="AF365" s="49"/>
      <c r="AG365" s="49"/>
      <c r="AH365" s="49"/>
      <c r="AI365" s="49"/>
      <c r="AJ365" s="49"/>
      <c r="AK365" s="49"/>
      <c r="AL365" s="40">
        <f t="shared" si="30"/>
        <v>0</v>
      </c>
      <c r="AM365" s="37">
        <f t="shared" si="31"/>
        <v>0</v>
      </c>
      <c r="AN365" s="37">
        <f t="shared" si="32"/>
        <v>0</v>
      </c>
      <c r="AO365" s="38" t="e">
        <f t="shared" si="33"/>
        <v>#DIV/0!</v>
      </c>
      <c r="AP365" s="38" t="e">
        <f t="shared" si="34"/>
        <v>#DIV/0!</v>
      </c>
      <c r="AQ365" s="39" t="e">
        <f t="shared" si="35"/>
        <v>#DIV/0!</v>
      </c>
    </row>
    <row r="366" spans="1:43" ht="20.100000000000001" customHeight="1" x14ac:dyDescent="0.25">
      <c r="A366" s="8">
        <v>364</v>
      </c>
      <c r="B366" s="48"/>
      <c r="C366" s="48"/>
      <c r="D366" s="48"/>
      <c r="E366" s="49"/>
      <c r="F366" s="49"/>
      <c r="G366" s="49"/>
      <c r="H366" s="49"/>
      <c r="I366" s="49"/>
      <c r="J366" s="49"/>
      <c r="K366" s="49"/>
      <c r="L366" s="49"/>
      <c r="M366" s="49"/>
      <c r="N366" s="49"/>
      <c r="O366" s="49"/>
      <c r="P366" s="49"/>
      <c r="Q366" s="49"/>
      <c r="R366" s="49"/>
      <c r="S366" s="49"/>
      <c r="T366" s="49"/>
      <c r="U366" s="49"/>
      <c r="V366" s="49"/>
      <c r="W366" s="49"/>
      <c r="X366" s="49"/>
      <c r="Y366" s="49"/>
      <c r="Z366" s="49"/>
      <c r="AA366" s="49"/>
      <c r="AB366" s="49"/>
      <c r="AC366" s="49"/>
      <c r="AD366" s="49"/>
      <c r="AE366" s="49"/>
      <c r="AF366" s="49"/>
      <c r="AG366" s="49"/>
      <c r="AH366" s="49"/>
      <c r="AI366" s="49"/>
      <c r="AJ366" s="49"/>
      <c r="AK366" s="49"/>
      <c r="AL366" s="40">
        <f t="shared" si="30"/>
        <v>0</v>
      </c>
      <c r="AM366" s="37">
        <f t="shared" si="31"/>
        <v>0</v>
      </c>
      <c r="AN366" s="37">
        <f t="shared" si="32"/>
        <v>0</v>
      </c>
      <c r="AO366" s="38" t="e">
        <f t="shared" si="33"/>
        <v>#DIV/0!</v>
      </c>
      <c r="AP366" s="38" t="e">
        <f t="shared" si="34"/>
        <v>#DIV/0!</v>
      </c>
      <c r="AQ366" s="39" t="e">
        <f t="shared" si="35"/>
        <v>#DIV/0!</v>
      </c>
    </row>
    <row r="367" spans="1:43" ht="20.100000000000001" customHeight="1" x14ac:dyDescent="0.25">
      <c r="A367" s="8">
        <v>365</v>
      </c>
      <c r="B367" s="48"/>
      <c r="C367" s="48"/>
      <c r="D367" s="48"/>
      <c r="E367" s="49"/>
      <c r="F367" s="49"/>
      <c r="G367" s="49"/>
      <c r="H367" s="49"/>
      <c r="I367" s="49"/>
      <c r="J367" s="49"/>
      <c r="K367" s="49"/>
      <c r="L367" s="49"/>
      <c r="M367" s="49"/>
      <c r="N367" s="49"/>
      <c r="O367" s="49"/>
      <c r="P367" s="49"/>
      <c r="Q367" s="49"/>
      <c r="R367" s="49"/>
      <c r="S367" s="49"/>
      <c r="T367" s="49"/>
      <c r="U367" s="49"/>
      <c r="V367" s="49"/>
      <c r="W367" s="49"/>
      <c r="X367" s="49"/>
      <c r="Y367" s="49"/>
      <c r="Z367" s="49"/>
      <c r="AA367" s="49"/>
      <c r="AB367" s="49"/>
      <c r="AC367" s="49"/>
      <c r="AD367" s="49"/>
      <c r="AE367" s="49"/>
      <c r="AF367" s="49"/>
      <c r="AG367" s="49"/>
      <c r="AH367" s="49"/>
      <c r="AI367" s="49"/>
      <c r="AJ367" s="49"/>
      <c r="AK367" s="49"/>
      <c r="AL367" s="40">
        <f t="shared" si="30"/>
        <v>0</v>
      </c>
      <c r="AM367" s="37">
        <f t="shared" si="31"/>
        <v>0</v>
      </c>
      <c r="AN367" s="37">
        <f t="shared" si="32"/>
        <v>0</v>
      </c>
      <c r="AO367" s="38" t="e">
        <f t="shared" si="33"/>
        <v>#DIV/0!</v>
      </c>
      <c r="AP367" s="38" t="e">
        <f t="shared" si="34"/>
        <v>#DIV/0!</v>
      </c>
      <c r="AQ367" s="39" t="e">
        <f t="shared" si="35"/>
        <v>#DIV/0!</v>
      </c>
    </row>
    <row r="368" spans="1:43" ht="20.100000000000001" customHeight="1" x14ac:dyDescent="0.25">
      <c r="A368" s="8">
        <v>366</v>
      </c>
      <c r="B368" s="48"/>
      <c r="C368" s="48"/>
      <c r="D368" s="48"/>
      <c r="E368" s="49"/>
      <c r="F368" s="49"/>
      <c r="G368" s="49"/>
      <c r="H368" s="49"/>
      <c r="I368" s="49"/>
      <c r="J368" s="49"/>
      <c r="K368" s="49"/>
      <c r="L368" s="49"/>
      <c r="M368" s="49"/>
      <c r="N368" s="49"/>
      <c r="O368" s="49"/>
      <c r="P368" s="49"/>
      <c r="Q368" s="49"/>
      <c r="R368" s="49"/>
      <c r="S368" s="49"/>
      <c r="T368" s="49"/>
      <c r="U368" s="49"/>
      <c r="V368" s="49"/>
      <c r="W368" s="49"/>
      <c r="X368" s="49"/>
      <c r="Y368" s="49"/>
      <c r="Z368" s="49"/>
      <c r="AA368" s="49"/>
      <c r="AB368" s="49"/>
      <c r="AC368" s="49"/>
      <c r="AD368" s="49"/>
      <c r="AE368" s="49"/>
      <c r="AF368" s="49"/>
      <c r="AG368" s="49"/>
      <c r="AH368" s="49"/>
      <c r="AI368" s="49"/>
      <c r="AJ368" s="49"/>
      <c r="AK368" s="49"/>
      <c r="AL368" s="40">
        <f t="shared" si="30"/>
        <v>0</v>
      </c>
      <c r="AM368" s="37">
        <f t="shared" si="31"/>
        <v>0</v>
      </c>
      <c r="AN368" s="37">
        <f t="shared" si="32"/>
        <v>0</v>
      </c>
      <c r="AO368" s="38" t="e">
        <f t="shared" si="33"/>
        <v>#DIV/0!</v>
      </c>
      <c r="AP368" s="38" t="e">
        <f t="shared" si="34"/>
        <v>#DIV/0!</v>
      </c>
      <c r="AQ368" s="39" t="e">
        <f t="shared" si="35"/>
        <v>#DIV/0!</v>
      </c>
    </row>
    <row r="369" spans="1:43" ht="20.100000000000001" customHeight="1" x14ac:dyDescent="0.25">
      <c r="A369" s="8">
        <v>367</v>
      </c>
      <c r="B369" s="48"/>
      <c r="C369" s="48"/>
      <c r="D369" s="48"/>
      <c r="E369" s="49"/>
      <c r="F369" s="49"/>
      <c r="G369" s="49"/>
      <c r="H369" s="49"/>
      <c r="I369" s="49"/>
      <c r="J369" s="49"/>
      <c r="K369" s="49"/>
      <c r="L369" s="49"/>
      <c r="M369" s="49"/>
      <c r="N369" s="49"/>
      <c r="O369" s="49"/>
      <c r="P369" s="49"/>
      <c r="Q369" s="49"/>
      <c r="R369" s="49"/>
      <c r="S369" s="49"/>
      <c r="T369" s="49"/>
      <c r="U369" s="49"/>
      <c r="V369" s="49"/>
      <c r="W369" s="49"/>
      <c r="X369" s="49"/>
      <c r="Y369" s="49"/>
      <c r="Z369" s="49"/>
      <c r="AA369" s="49"/>
      <c r="AB369" s="49"/>
      <c r="AC369" s="49"/>
      <c r="AD369" s="49"/>
      <c r="AE369" s="49"/>
      <c r="AF369" s="49"/>
      <c r="AG369" s="49"/>
      <c r="AH369" s="49"/>
      <c r="AI369" s="49"/>
      <c r="AJ369" s="49"/>
      <c r="AK369" s="49"/>
      <c r="AL369" s="40">
        <f t="shared" si="30"/>
        <v>0</v>
      </c>
      <c r="AM369" s="37">
        <f t="shared" si="31"/>
        <v>0</v>
      </c>
      <c r="AN369" s="37">
        <f t="shared" si="32"/>
        <v>0</v>
      </c>
      <c r="AO369" s="38" t="e">
        <f t="shared" si="33"/>
        <v>#DIV/0!</v>
      </c>
      <c r="AP369" s="38" t="e">
        <f t="shared" si="34"/>
        <v>#DIV/0!</v>
      </c>
      <c r="AQ369" s="39" t="e">
        <f t="shared" si="35"/>
        <v>#DIV/0!</v>
      </c>
    </row>
    <row r="370" spans="1:43" ht="20.100000000000001" customHeight="1" x14ac:dyDescent="0.25">
      <c r="A370" s="8">
        <v>368</v>
      </c>
      <c r="B370" s="48"/>
      <c r="C370" s="48"/>
      <c r="D370" s="48"/>
      <c r="E370" s="49"/>
      <c r="F370" s="49"/>
      <c r="G370" s="49"/>
      <c r="H370" s="49"/>
      <c r="I370" s="49"/>
      <c r="J370" s="49"/>
      <c r="K370" s="49"/>
      <c r="L370" s="49"/>
      <c r="M370" s="49"/>
      <c r="N370" s="49"/>
      <c r="O370" s="49"/>
      <c r="P370" s="49"/>
      <c r="Q370" s="49"/>
      <c r="R370" s="49"/>
      <c r="S370" s="49"/>
      <c r="T370" s="49"/>
      <c r="U370" s="49"/>
      <c r="V370" s="49"/>
      <c r="W370" s="49"/>
      <c r="X370" s="49"/>
      <c r="Y370" s="49"/>
      <c r="Z370" s="49"/>
      <c r="AA370" s="49"/>
      <c r="AB370" s="49"/>
      <c r="AC370" s="49"/>
      <c r="AD370" s="49"/>
      <c r="AE370" s="49"/>
      <c r="AF370" s="49"/>
      <c r="AG370" s="49"/>
      <c r="AH370" s="49"/>
      <c r="AI370" s="49"/>
      <c r="AJ370" s="49"/>
      <c r="AK370" s="49"/>
      <c r="AL370" s="40">
        <f t="shared" si="30"/>
        <v>0</v>
      </c>
      <c r="AM370" s="37">
        <f t="shared" si="31"/>
        <v>0</v>
      </c>
      <c r="AN370" s="37">
        <f t="shared" si="32"/>
        <v>0</v>
      </c>
      <c r="AO370" s="38" t="e">
        <f t="shared" si="33"/>
        <v>#DIV/0!</v>
      </c>
      <c r="AP370" s="38" t="e">
        <f t="shared" si="34"/>
        <v>#DIV/0!</v>
      </c>
      <c r="AQ370" s="39" t="e">
        <f t="shared" si="35"/>
        <v>#DIV/0!</v>
      </c>
    </row>
    <row r="371" spans="1:43" ht="20.100000000000001" customHeight="1" x14ac:dyDescent="0.25">
      <c r="A371" s="8">
        <v>369</v>
      </c>
      <c r="B371" s="48"/>
      <c r="C371" s="48"/>
      <c r="D371" s="48"/>
      <c r="E371" s="49"/>
      <c r="F371" s="49"/>
      <c r="G371" s="49"/>
      <c r="H371" s="49"/>
      <c r="I371" s="49"/>
      <c r="J371" s="49"/>
      <c r="K371" s="49"/>
      <c r="L371" s="49"/>
      <c r="M371" s="49"/>
      <c r="N371" s="49"/>
      <c r="O371" s="49"/>
      <c r="P371" s="49"/>
      <c r="Q371" s="49"/>
      <c r="R371" s="49"/>
      <c r="S371" s="49"/>
      <c r="T371" s="49"/>
      <c r="U371" s="49"/>
      <c r="V371" s="49"/>
      <c r="W371" s="49"/>
      <c r="X371" s="49"/>
      <c r="Y371" s="49"/>
      <c r="Z371" s="49"/>
      <c r="AA371" s="49"/>
      <c r="AB371" s="49"/>
      <c r="AC371" s="49"/>
      <c r="AD371" s="49"/>
      <c r="AE371" s="49"/>
      <c r="AF371" s="49"/>
      <c r="AG371" s="49"/>
      <c r="AH371" s="49"/>
      <c r="AI371" s="49"/>
      <c r="AJ371" s="49"/>
      <c r="AK371" s="49"/>
      <c r="AL371" s="40">
        <f t="shared" si="30"/>
        <v>0</v>
      </c>
      <c r="AM371" s="37">
        <f t="shared" si="31"/>
        <v>0</v>
      </c>
      <c r="AN371" s="37">
        <f t="shared" si="32"/>
        <v>0</v>
      </c>
      <c r="AO371" s="38" t="e">
        <f t="shared" si="33"/>
        <v>#DIV/0!</v>
      </c>
      <c r="AP371" s="38" t="e">
        <f t="shared" si="34"/>
        <v>#DIV/0!</v>
      </c>
      <c r="AQ371" s="39" t="e">
        <f t="shared" si="35"/>
        <v>#DIV/0!</v>
      </c>
    </row>
    <row r="372" spans="1:43" ht="20.100000000000001" customHeight="1" x14ac:dyDescent="0.25">
      <c r="A372" s="8">
        <v>370</v>
      </c>
      <c r="B372" s="48"/>
      <c r="C372" s="48"/>
      <c r="D372" s="48"/>
      <c r="E372" s="49"/>
      <c r="F372" s="49"/>
      <c r="G372" s="49"/>
      <c r="H372" s="49"/>
      <c r="I372" s="49"/>
      <c r="J372" s="49"/>
      <c r="K372" s="49"/>
      <c r="L372" s="49"/>
      <c r="M372" s="49"/>
      <c r="N372" s="49"/>
      <c r="O372" s="49"/>
      <c r="P372" s="49"/>
      <c r="Q372" s="49"/>
      <c r="R372" s="49"/>
      <c r="S372" s="49"/>
      <c r="T372" s="49"/>
      <c r="U372" s="49"/>
      <c r="V372" s="49"/>
      <c r="W372" s="49"/>
      <c r="X372" s="49"/>
      <c r="Y372" s="49"/>
      <c r="Z372" s="49"/>
      <c r="AA372" s="49"/>
      <c r="AB372" s="49"/>
      <c r="AC372" s="49"/>
      <c r="AD372" s="49"/>
      <c r="AE372" s="49"/>
      <c r="AF372" s="49"/>
      <c r="AG372" s="49"/>
      <c r="AH372" s="49"/>
      <c r="AI372" s="49"/>
      <c r="AJ372" s="49"/>
      <c r="AK372" s="49"/>
      <c r="AL372" s="40">
        <f t="shared" si="30"/>
        <v>0</v>
      </c>
      <c r="AM372" s="37">
        <f t="shared" si="31"/>
        <v>0</v>
      </c>
      <c r="AN372" s="37">
        <f t="shared" si="32"/>
        <v>0</v>
      </c>
      <c r="AO372" s="38" t="e">
        <f t="shared" si="33"/>
        <v>#DIV/0!</v>
      </c>
      <c r="AP372" s="38" t="e">
        <f t="shared" si="34"/>
        <v>#DIV/0!</v>
      </c>
      <c r="AQ372" s="39" t="e">
        <f t="shared" si="35"/>
        <v>#DIV/0!</v>
      </c>
    </row>
    <row r="373" spans="1:43" ht="20.100000000000001" customHeight="1" x14ac:dyDescent="0.25">
      <c r="A373" s="8">
        <v>371</v>
      </c>
      <c r="B373" s="48"/>
      <c r="C373" s="48"/>
      <c r="D373" s="48"/>
      <c r="E373" s="49"/>
      <c r="F373" s="49"/>
      <c r="G373" s="49"/>
      <c r="H373" s="49"/>
      <c r="I373" s="49"/>
      <c r="J373" s="49"/>
      <c r="K373" s="49"/>
      <c r="L373" s="49"/>
      <c r="M373" s="49"/>
      <c r="N373" s="49"/>
      <c r="O373" s="49"/>
      <c r="P373" s="49"/>
      <c r="Q373" s="49"/>
      <c r="R373" s="49"/>
      <c r="S373" s="49"/>
      <c r="T373" s="49"/>
      <c r="U373" s="49"/>
      <c r="V373" s="49"/>
      <c r="W373" s="49"/>
      <c r="X373" s="49"/>
      <c r="Y373" s="49"/>
      <c r="Z373" s="49"/>
      <c r="AA373" s="49"/>
      <c r="AB373" s="49"/>
      <c r="AC373" s="49"/>
      <c r="AD373" s="49"/>
      <c r="AE373" s="49"/>
      <c r="AF373" s="49"/>
      <c r="AG373" s="49"/>
      <c r="AH373" s="49"/>
      <c r="AI373" s="49"/>
      <c r="AJ373" s="49"/>
      <c r="AK373" s="49"/>
      <c r="AL373" s="40">
        <f t="shared" si="30"/>
        <v>0</v>
      </c>
      <c r="AM373" s="37">
        <f t="shared" si="31"/>
        <v>0</v>
      </c>
      <c r="AN373" s="37">
        <f t="shared" si="32"/>
        <v>0</v>
      </c>
      <c r="AO373" s="38" t="e">
        <f t="shared" si="33"/>
        <v>#DIV/0!</v>
      </c>
      <c r="AP373" s="38" t="e">
        <f t="shared" si="34"/>
        <v>#DIV/0!</v>
      </c>
      <c r="AQ373" s="39" t="e">
        <f t="shared" si="35"/>
        <v>#DIV/0!</v>
      </c>
    </row>
    <row r="374" spans="1:43" ht="20.100000000000001" customHeight="1" x14ac:dyDescent="0.25">
      <c r="A374" s="8">
        <v>372</v>
      </c>
      <c r="B374" s="48"/>
      <c r="C374" s="48"/>
      <c r="D374" s="48"/>
      <c r="E374" s="49"/>
      <c r="F374" s="49"/>
      <c r="G374" s="49"/>
      <c r="H374" s="49"/>
      <c r="I374" s="49"/>
      <c r="J374" s="49"/>
      <c r="K374" s="49"/>
      <c r="L374" s="49"/>
      <c r="M374" s="49"/>
      <c r="N374" s="49"/>
      <c r="O374" s="49"/>
      <c r="P374" s="49"/>
      <c r="Q374" s="49"/>
      <c r="R374" s="49"/>
      <c r="S374" s="49"/>
      <c r="T374" s="49"/>
      <c r="U374" s="49"/>
      <c r="V374" s="49"/>
      <c r="W374" s="49"/>
      <c r="X374" s="49"/>
      <c r="Y374" s="49"/>
      <c r="Z374" s="49"/>
      <c r="AA374" s="49"/>
      <c r="AB374" s="49"/>
      <c r="AC374" s="49"/>
      <c r="AD374" s="49"/>
      <c r="AE374" s="49"/>
      <c r="AF374" s="49"/>
      <c r="AG374" s="49"/>
      <c r="AH374" s="49"/>
      <c r="AI374" s="49"/>
      <c r="AJ374" s="49"/>
      <c r="AK374" s="49"/>
      <c r="AL374" s="40">
        <f t="shared" si="30"/>
        <v>0</v>
      </c>
      <c r="AM374" s="37">
        <f t="shared" si="31"/>
        <v>0</v>
      </c>
      <c r="AN374" s="37">
        <f t="shared" si="32"/>
        <v>0</v>
      </c>
      <c r="AO374" s="38" t="e">
        <f t="shared" si="33"/>
        <v>#DIV/0!</v>
      </c>
      <c r="AP374" s="38" t="e">
        <f t="shared" si="34"/>
        <v>#DIV/0!</v>
      </c>
      <c r="AQ374" s="39" t="e">
        <f t="shared" si="35"/>
        <v>#DIV/0!</v>
      </c>
    </row>
    <row r="375" spans="1:43" ht="20.100000000000001" customHeight="1" x14ac:dyDescent="0.25">
      <c r="A375" s="8">
        <v>373</v>
      </c>
      <c r="B375" s="48"/>
      <c r="C375" s="48"/>
      <c r="D375" s="48"/>
      <c r="E375" s="49"/>
      <c r="F375" s="49"/>
      <c r="G375" s="49"/>
      <c r="H375" s="49"/>
      <c r="I375" s="49"/>
      <c r="J375" s="49"/>
      <c r="K375" s="49"/>
      <c r="L375" s="49"/>
      <c r="M375" s="49"/>
      <c r="N375" s="49"/>
      <c r="O375" s="49"/>
      <c r="P375" s="49"/>
      <c r="Q375" s="49"/>
      <c r="R375" s="49"/>
      <c r="S375" s="49"/>
      <c r="T375" s="49"/>
      <c r="U375" s="49"/>
      <c r="V375" s="49"/>
      <c r="W375" s="49"/>
      <c r="X375" s="49"/>
      <c r="Y375" s="49"/>
      <c r="Z375" s="49"/>
      <c r="AA375" s="49"/>
      <c r="AB375" s="49"/>
      <c r="AC375" s="49"/>
      <c r="AD375" s="49"/>
      <c r="AE375" s="49"/>
      <c r="AF375" s="49"/>
      <c r="AG375" s="49"/>
      <c r="AH375" s="49"/>
      <c r="AI375" s="49"/>
      <c r="AJ375" s="49"/>
      <c r="AK375" s="49"/>
      <c r="AL375" s="40">
        <f t="shared" si="30"/>
        <v>0</v>
      </c>
      <c r="AM375" s="37">
        <f t="shared" si="31"/>
        <v>0</v>
      </c>
      <c r="AN375" s="37">
        <f t="shared" si="32"/>
        <v>0</v>
      </c>
      <c r="AO375" s="38" t="e">
        <f t="shared" si="33"/>
        <v>#DIV/0!</v>
      </c>
      <c r="AP375" s="38" t="e">
        <f t="shared" si="34"/>
        <v>#DIV/0!</v>
      </c>
      <c r="AQ375" s="39" t="e">
        <f t="shared" si="35"/>
        <v>#DIV/0!</v>
      </c>
    </row>
    <row r="376" spans="1:43" ht="20.100000000000001" customHeight="1" x14ac:dyDescent="0.25">
      <c r="A376" s="8">
        <v>374</v>
      </c>
      <c r="B376" s="48"/>
      <c r="C376" s="48"/>
      <c r="D376" s="48"/>
      <c r="E376" s="49"/>
      <c r="F376" s="49"/>
      <c r="G376" s="49"/>
      <c r="H376" s="49"/>
      <c r="I376" s="49"/>
      <c r="J376" s="49"/>
      <c r="K376" s="49"/>
      <c r="L376" s="49"/>
      <c r="M376" s="49"/>
      <c r="N376" s="49"/>
      <c r="O376" s="49"/>
      <c r="P376" s="49"/>
      <c r="Q376" s="49"/>
      <c r="R376" s="49"/>
      <c r="S376" s="49"/>
      <c r="T376" s="49"/>
      <c r="U376" s="49"/>
      <c r="V376" s="49"/>
      <c r="W376" s="49"/>
      <c r="X376" s="49"/>
      <c r="Y376" s="49"/>
      <c r="Z376" s="49"/>
      <c r="AA376" s="49"/>
      <c r="AB376" s="49"/>
      <c r="AC376" s="49"/>
      <c r="AD376" s="49"/>
      <c r="AE376" s="49"/>
      <c r="AF376" s="49"/>
      <c r="AG376" s="49"/>
      <c r="AH376" s="49"/>
      <c r="AI376" s="49"/>
      <c r="AJ376" s="49"/>
      <c r="AK376" s="49"/>
      <c r="AL376" s="40">
        <f t="shared" si="30"/>
        <v>0</v>
      </c>
      <c r="AM376" s="37">
        <f t="shared" si="31"/>
        <v>0</v>
      </c>
      <c r="AN376" s="37">
        <f t="shared" si="32"/>
        <v>0</v>
      </c>
      <c r="AO376" s="38" t="e">
        <f t="shared" si="33"/>
        <v>#DIV/0!</v>
      </c>
      <c r="AP376" s="38" t="e">
        <f t="shared" si="34"/>
        <v>#DIV/0!</v>
      </c>
      <c r="AQ376" s="39" t="e">
        <f t="shared" si="35"/>
        <v>#DIV/0!</v>
      </c>
    </row>
    <row r="377" spans="1:43" ht="20.100000000000001" customHeight="1" x14ac:dyDescent="0.25">
      <c r="A377" s="8">
        <v>375</v>
      </c>
      <c r="B377" s="48"/>
      <c r="C377" s="48"/>
      <c r="D377" s="48"/>
      <c r="E377" s="49"/>
      <c r="F377" s="49"/>
      <c r="G377" s="49"/>
      <c r="H377" s="49"/>
      <c r="I377" s="49"/>
      <c r="J377" s="49"/>
      <c r="K377" s="49"/>
      <c r="L377" s="49"/>
      <c r="M377" s="49"/>
      <c r="N377" s="49"/>
      <c r="O377" s="49"/>
      <c r="P377" s="49"/>
      <c r="Q377" s="49"/>
      <c r="R377" s="49"/>
      <c r="S377" s="49"/>
      <c r="T377" s="49"/>
      <c r="U377" s="49"/>
      <c r="V377" s="49"/>
      <c r="W377" s="49"/>
      <c r="X377" s="49"/>
      <c r="Y377" s="49"/>
      <c r="Z377" s="49"/>
      <c r="AA377" s="49"/>
      <c r="AB377" s="49"/>
      <c r="AC377" s="49"/>
      <c r="AD377" s="49"/>
      <c r="AE377" s="49"/>
      <c r="AF377" s="49"/>
      <c r="AG377" s="49"/>
      <c r="AH377" s="49"/>
      <c r="AI377" s="49"/>
      <c r="AJ377" s="49"/>
      <c r="AK377" s="49"/>
      <c r="AL377" s="40">
        <f t="shared" si="30"/>
        <v>0</v>
      </c>
      <c r="AM377" s="37">
        <f t="shared" si="31"/>
        <v>0</v>
      </c>
      <c r="AN377" s="37">
        <f t="shared" si="32"/>
        <v>0</v>
      </c>
      <c r="AO377" s="38" t="e">
        <f t="shared" si="33"/>
        <v>#DIV/0!</v>
      </c>
      <c r="AP377" s="38" t="e">
        <f t="shared" si="34"/>
        <v>#DIV/0!</v>
      </c>
      <c r="AQ377" s="39" t="e">
        <f t="shared" si="35"/>
        <v>#DIV/0!</v>
      </c>
    </row>
    <row r="378" spans="1:43" ht="20.100000000000001" customHeight="1" x14ac:dyDescent="0.25">
      <c r="A378" s="8">
        <v>376</v>
      </c>
      <c r="B378" s="48"/>
      <c r="C378" s="48"/>
      <c r="D378" s="48"/>
      <c r="E378" s="49"/>
      <c r="F378" s="49"/>
      <c r="G378" s="49"/>
      <c r="H378" s="49"/>
      <c r="I378" s="49"/>
      <c r="J378" s="49"/>
      <c r="K378" s="49"/>
      <c r="L378" s="49"/>
      <c r="M378" s="49"/>
      <c r="N378" s="49"/>
      <c r="O378" s="49"/>
      <c r="P378" s="49"/>
      <c r="Q378" s="49"/>
      <c r="R378" s="49"/>
      <c r="S378" s="49"/>
      <c r="T378" s="49"/>
      <c r="U378" s="49"/>
      <c r="V378" s="49"/>
      <c r="W378" s="49"/>
      <c r="X378" s="49"/>
      <c r="Y378" s="49"/>
      <c r="Z378" s="49"/>
      <c r="AA378" s="49"/>
      <c r="AB378" s="49"/>
      <c r="AC378" s="49"/>
      <c r="AD378" s="49"/>
      <c r="AE378" s="49"/>
      <c r="AF378" s="49"/>
      <c r="AG378" s="49"/>
      <c r="AH378" s="49"/>
      <c r="AI378" s="49"/>
      <c r="AJ378" s="49"/>
      <c r="AK378" s="49"/>
      <c r="AL378" s="40">
        <f t="shared" si="30"/>
        <v>0</v>
      </c>
      <c r="AM378" s="37">
        <f t="shared" si="31"/>
        <v>0</v>
      </c>
      <c r="AN378" s="37">
        <f t="shared" si="32"/>
        <v>0</v>
      </c>
      <c r="AO378" s="38" t="e">
        <f t="shared" si="33"/>
        <v>#DIV/0!</v>
      </c>
      <c r="AP378" s="38" t="e">
        <f t="shared" si="34"/>
        <v>#DIV/0!</v>
      </c>
      <c r="AQ378" s="39" t="e">
        <f t="shared" si="35"/>
        <v>#DIV/0!</v>
      </c>
    </row>
    <row r="379" spans="1:43" ht="20.100000000000001" customHeight="1" x14ac:dyDescent="0.25">
      <c r="A379" s="8">
        <v>377</v>
      </c>
      <c r="B379" s="48"/>
      <c r="C379" s="48"/>
      <c r="D379" s="48"/>
      <c r="E379" s="49"/>
      <c r="F379" s="49"/>
      <c r="G379" s="49"/>
      <c r="H379" s="49"/>
      <c r="I379" s="49"/>
      <c r="J379" s="49"/>
      <c r="K379" s="49"/>
      <c r="L379" s="49"/>
      <c r="M379" s="49"/>
      <c r="N379" s="49"/>
      <c r="O379" s="49"/>
      <c r="P379" s="49"/>
      <c r="Q379" s="49"/>
      <c r="R379" s="49"/>
      <c r="S379" s="49"/>
      <c r="T379" s="49"/>
      <c r="U379" s="49"/>
      <c r="V379" s="49"/>
      <c r="W379" s="49"/>
      <c r="X379" s="49"/>
      <c r="Y379" s="49"/>
      <c r="Z379" s="49"/>
      <c r="AA379" s="49"/>
      <c r="AB379" s="49"/>
      <c r="AC379" s="49"/>
      <c r="AD379" s="49"/>
      <c r="AE379" s="49"/>
      <c r="AF379" s="49"/>
      <c r="AG379" s="49"/>
      <c r="AH379" s="49"/>
      <c r="AI379" s="49"/>
      <c r="AJ379" s="49"/>
      <c r="AK379" s="49"/>
      <c r="AL379" s="40">
        <f t="shared" si="30"/>
        <v>0</v>
      </c>
      <c r="AM379" s="37">
        <f t="shared" si="31"/>
        <v>0</v>
      </c>
      <c r="AN379" s="37">
        <f t="shared" si="32"/>
        <v>0</v>
      </c>
      <c r="AO379" s="38" t="e">
        <f t="shared" si="33"/>
        <v>#DIV/0!</v>
      </c>
      <c r="AP379" s="38" t="e">
        <f t="shared" si="34"/>
        <v>#DIV/0!</v>
      </c>
      <c r="AQ379" s="39" t="e">
        <f t="shared" si="35"/>
        <v>#DIV/0!</v>
      </c>
    </row>
    <row r="380" spans="1:43" ht="20.100000000000001" customHeight="1" x14ac:dyDescent="0.25">
      <c r="A380" s="8">
        <v>378</v>
      </c>
      <c r="B380" s="48"/>
      <c r="C380" s="48"/>
      <c r="D380" s="48"/>
      <c r="E380" s="49"/>
      <c r="F380" s="49"/>
      <c r="G380" s="49"/>
      <c r="H380" s="49"/>
      <c r="I380" s="49"/>
      <c r="J380" s="49"/>
      <c r="K380" s="49"/>
      <c r="L380" s="49"/>
      <c r="M380" s="49"/>
      <c r="N380" s="49"/>
      <c r="O380" s="49"/>
      <c r="P380" s="49"/>
      <c r="Q380" s="49"/>
      <c r="R380" s="49"/>
      <c r="S380" s="49"/>
      <c r="T380" s="49"/>
      <c r="U380" s="49"/>
      <c r="V380" s="49"/>
      <c r="W380" s="49"/>
      <c r="X380" s="49"/>
      <c r="Y380" s="49"/>
      <c r="Z380" s="49"/>
      <c r="AA380" s="49"/>
      <c r="AB380" s="49"/>
      <c r="AC380" s="49"/>
      <c r="AD380" s="49"/>
      <c r="AE380" s="49"/>
      <c r="AF380" s="49"/>
      <c r="AG380" s="49"/>
      <c r="AH380" s="49"/>
      <c r="AI380" s="49"/>
      <c r="AJ380" s="49"/>
      <c r="AK380" s="49"/>
      <c r="AL380" s="40">
        <f t="shared" si="30"/>
        <v>0</v>
      </c>
      <c r="AM380" s="37">
        <f t="shared" si="31"/>
        <v>0</v>
      </c>
      <c r="AN380" s="37">
        <f t="shared" si="32"/>
        <v>0</v>
      </c>
      <c r="AO380" s="38" t="e">
        <f t="shared" si="33"/>
        <v>#DIV/0!</v>
      </c>
      <c r="AP380" s="38" t="e">
        <f t="shared" si="34"/>
        <v>#DIV/0!</v>
      </c>
      <c r="AQ380" s="39" t="e">
        <f t="shared" si="35"/>
        <v>#DIV/0!</v>
      </c>
    </row>
    <row r="381" spans="1:43" ht="20.100000000000001" customHeight="1" x14ac:dyDescent="0.25">
      <c r="A381" s="8">
        <v>379</v>
      </c>
      <c r="B381" s="48"/>
      <c r="C381" s="48"/>
      <c r="D381" s="48"/>
      <c r="E381" s="49"/>
      <c r="F381" s="49"/>
      <c r="G381" s="49"/>
      <c r="H381" s="49"/>
      <c r="I381" s="49"/>
      <c r="J381" s="49"/>
      <c r="K381" s="49"/>
      <c r="L381" s="49"/>
      <c r="M381" s="49"/>
      <c r="N381" s="49"/>
      <c r="O381" s="49"/>
      <c r="P381" s="49"/>
      <c r="Q381" s="49"/>
      <c r="R381" s="49"/>
      <c r="S381" s="49"/>
      <c r="T381" s="49"/>
      <c r="U381" s="49"/>
      <c r="V381" s="49"/>
      <c r="W381" s="49"/>
      <c r="X381" s="49"/>
      <c r="Y381" s="49"/>
      <c r="Z381" s="49"/>
      <c r="AA381" s="49"/>
      <c r="AB381" s="49"/>
      <c r="AC381" s="49"/>
      <c r="AD381" s="49"/>
      <c r="AE381" s="49"/>
      <c r="AF381" s="49"/>
      <c r="AG381" s="49"/>
      <c r="AH381" s="49"/>
      <c r="AI381" s="49"/>
      <c r="AJ381" s="49"/>
      <c r="AK381" s="49"/>
      <c r="AL381" s="40">
        <f t="shared" si="30"/>
        <v>0</v>
      </c>
      <c r="AM381" s="37">
        <f t="shared" si="31"/>
        <v>0</v>
      </c>
      <c r="AN381" s="37">
        <f t="shared" si="32"/>
        <v>0</v>
      </c>
      <c r="AO381" s="38" t="e">
        <f t="shared" si="33"/>
        <v>#DIV/0!</v>
      </c>
      <c r="AP381" s="38" t="e">
        <f t="shared" si="34"/>
        <v>#DIV/0!</v>
      </c>
      <c r="AQ381" s="39" t="e">
        <f t="shared" si="35"/>
        <v>#DIV/0!</v>
      </c>
    </row>
    <row r="382" spans="1:43" ht="20.100000000000001" customHeight="1" x14ac:dyDescent="0.25">
      <c r="A382" s="8">
        <v>380</v>
      </c>
      <c r="B382" s="48"/>
      <c r="C382" s="48"/>
      <c r="D382" s="48"/>
      <c r="E382" s="49"/>
      <c r="F382" s="49"/>
      <c r="G382" s="49"/>
      <c r="H382" s="49"/>
      <c r="I382" s="49"/>
      <c r="J382" s="49"/>
      <c r="K382" s="49"/>
      <c r="L382" s="49"/>
      <c r="M382" s="49"/>
      <c r="N382" s="49"/>
      <c r="O382" s="49"/>
      <c r="P382" s="49"/>
      <c r="Q382" s="49"/>
      <c r="R382" s="49"/>
      <c r="S382" s="49"/>
      <c r="T382" s="49"/>
      <c r="U382" s="49"/>
      <c r="V382" s="49"/>
      <c r="W382" s="49"/>
      <c r="X382" s="49"/>
      <c r="Y382" s="49"/>
      <c r="Z382" s="49"/>
      <c r="AA382" s="49"/>
      <c r="AB382" s="49"/>
      <c r="AC382" s="49"/>
      <c r="AD382" s="49"/>
      <c r="AE382" s="49"/>
      <c r="AF382" s="49"/>
      <c r="AG382" s="49"/>
      <c r="AH382" s="49"/>
      <c r="AI382" s="49"/>
      <c r="AJ382" s="49"/>
      <c r="AK382" s="49"/>
      <c r="AL382" s="40">
        <f t="shared" si="30"/>
        <v>0</v>
      </c>
      <c r="AM382" s="37">
        <f t="shared" si="31"/>
        <v>0</v>
      </c>
      <c r="AN382" s="37">
        <f t="shared" si="32"/>
        <v>0</v>
      </c>
      <c r="AO382" s="38" t="e">
        <f t="shared" si="33"/>
        <v>#DIV/0!</v>
      </c>
      <c r="AP382" s="38" t="e">
        <f t="shared" si="34"/>
        <v>#DIV/0!</v>
      </c>
      <c r="AQ382" s="39" t="e">
        <f t="shared" si="35"/>
        <v>#DIV/0!</v>
      </c>
    </row>
    <row r="383" spans="1:43" ht="20.100000000000001" customHeight="1" x14ac:dyDescent="0.25">
      <c r="A383" s="8">
        <v>381</v>
      </c>
      <c r="B383" s="48"/>
      <c r="C383" s="48"/>
      <c r="D383" s="48"/>
      <c r="E383" s="49"/>
      <c r="F383" s="49"/>
      <c r="G383" s="49"/>
      <c r="H383" s="49"/>
      <c r="I383" s="49"/>
      <c r="J383" s="49"/>
      <c r="K383" s="49"/>
      <c r="L383" s="49"/>
      <c r="M383" s="49"/>
      <c r="N383" s="49"/>
      <c r="O383" s="49"/>
      <c r="P383" s="49"/>
      <c r="Q383" s="49"/>
      <c r="R383" s="49"/>
      <c r="S383" s="49"/>
      <c r="T383" s="49"/>
      <c r="U383" s="49"/>
      <c r="V383" s="49"/>
      <c r="W383" s="49"/>
      <c r="X383" s="49"/>
      <c r="Y383" s="49"/>
      <c r="Z383" s="49"/>
      <c r="AA383" s="49"/>
      <c r="AB383" s="49"/>
      <c r="AC383" s="49"/>
      <c r="AD383" s="49"/>
      <c r="AE383" s="49"/>
      <c r="AF383" s="49"/>
      <c r="AG383" s="49"/>
      <c r="AH383" s="49"/>
      <c r="AI383" s="49"/>
      <c r="AJ383" s="49"/>
      <c r="AK383" s="49"/>
      <c r="AL383" s="40">
        <f t="shared" si="30"/>
        <v>0</v>
      </c>
      <c r="AM383" s="37">
        <f t="shared" si="31"/>
        <v>0</v>
      </c>
      <c r="AN383" s="37">
        <f t="shared" si="32"/>
        <v>0</v>
      </c>
      <c r="AO383" s="38" t="e">
        <f t="shared" si="33"/>
        <v>#DIV/0!</v>
      </c>
      <c r="AP383" s="38" t="e">
        <f t="shared" si="34"/>
        <v>#DIV/0!</v>
      </c>
      <c r="AQ383" s="39" t="e">
        <f t="shared" si="35"/>
        <v>#DIV/0!</v>
      </c>
    </row>
    <row r="384" spans="1:43" ht="20.100000000000001" customHeight="1" x14ac:dyDescent="0.25">
      <c r="A384" s="8">
        <v>382</v>
      </c>
      <c r="B384" s="48"/>
      <c r="C384" s="48"/>
      <c r="D384" s="48"/>
      <c r="E384" s="49"/>
      <c r="F384" s="49"/>
      <c r="G384" s="49"/>
      <c r="H384" s="49"/>
      <c r="I384" s="49"/>
      <c r="J384" s="49"/>
      <c r="K384" s="49"/>
      <c r="L384" s="49"/>
      <c r="M384" s="49"/>
      <c r="N384" s="49"/>
      <c r="O384" s="49"/>
      <c r="P384" s="49"/>
      <c r="Q384" s="49"/>
      <c r="R384" s="49"/>
      <c r="S384" s="49"/>
      <c r="T384" s="49"/>
      <c r="U384" s="49"/>
      <c r="V384" s="49"/>
      <c r="W384" s="49"/>
      <c r="X384" s="49"/>
      <c r="Y384" s="49"/>
      <c r="Z384" s="49"/>
      <c r="AA384" s="49"/>
      <c r="AB384" s="49"/>
      <c r="AC384" s="49"/>
      <c r="AD384" s="49"/>
      <c r="AE384" s="49"/>
      <c r="AF384" s="49"/>
      <c r="AG384" s="49"/>
      <c r="AH384" s="49"/>
      <c r="AI384" s="49"/>
      <c r="AJ384" s="49"/>
      <c r="AK384" s="49"/>
      <c r="AL384" s="40">
        <f t="shared" si="30"/>
        <v>0</v>
      </c>
      <c r="AM384" s="37">
        <f t="shared" si="31"/>
        <v>0</v>
      </c>
      <c r="AN384" s="37">
        <f t="shared" si="32"/>
        <v>0</v>
      </c>
      <c r="AO384" s="38" t="e">
        <f t="shared" si="33"/>
        <v>#DIV/0!</v>
      </c>
      <c r="AP384" s="38" t="e">
        <f t="shared" si="34"/>
        <v>#DIV/0!</v>
      </c>
      <c r="AQ384" s="39" t="e">
        <f t="shared" si="35"/>
        <v>#DIV/0!</v>
      </c>
    </row>
    <row r="385" spans="1:43" ht="20.100000000000001" customHeight="1" x14ac:dyDescent="0.25">
      <c r="A385" s="8">
        <v>383</v>
      </c>
      <c r="B385" s="48"/>
      <c r="C385" s="48"/>
      <c r="D385" s="48"/>
      <c r="E385" s="49"/>
      <c r="F385" s="49"/>
      <c r="G385" s="49"/>
      <c r="H385" s="49"/>
      <c r="I385" s="49"/>
      <c r="J385" s="49"/>
      <c r="K385" s="49"/>
      <c r="L385" s="49"/>
      <c r="M385" s="49"/>
      <c r="N385" s="49"/>
      <c r="O385" s="49"/>
      <c r="P385" s="49"/>
      <c r="Q385" s="49"/>
      <c r="R385" s="49"/>
      <c r="S385" s="49"/>
      <c r="T385" s="49"/>
      <c r="U385" s="49"/>
      <c r="V385" s="49"/>
      <c r="W385" s="49"/>
      <c r="X385" s="49"/>
      <c r="Y385" s="49"/>
      <c r="Z385" s="49"/>
      <c r="AA385" s="49"/>
      <c r="AB385" s="49"/>
      <c r="AC385" s="49"/>
      <c r="AD385" s="49"/>
      <c r="AE385" s="49"/>
      <c r="AF385" s="49"/>
      <c r="AG385" s="49"/>
      <c r="AH385" s="49"/>
      <c r="AI385" s="49"/>
      <c r="AJ385" s="49"/>
      <c r="AK385" s="49"/>
      <c r="AL385" s="40">
        <f t="shared" si="30"/>
        <v>0</v>
      </c>
      <c r="AM385" s="37">
        <f t="shared" si="31"/>
        <v>0</v>
      </c>
      <c r="AN385" s="37">
        <f t="shared" si="32"/>
        <v>0</v>
      </c>
      <c r="AO385" s="38" t="e">
        <f t="shared" si="33"/>
        <v>#DIV/0!</v>
      </c>
      <c r="AP385" s="38" t="e">
        <f t="shared" si="34"/>
        <v>#DIV/0!</v>
      </c>
      <c r="AQ385" s="39" t="e">
        <f t="shared" si="35"/>
        <v>#DIV/0!</v>
      </c>
    </row>
    <row r="386" spans="1:43" ht="20.100000000000001" customHeight="1" x14ac:dyDescent="0.25">
      <c r="A386" s="8">
        <v>384</v>
      </c>
      <c r="B386" s="48"/>
      <c r="C386" s="48"/>
      <c r="D386" s="48"/>
      <c r="E386" s="49"/>
      <c r="F386" s="49"/>
      <c r="G386" s="49"/>
      <c r="H386" s="49"/>
      <c r="I386" s="49"/>
      <c r="J386" s="49"/>
      <c r="K386" s="49"/>
      <c r="L386" s="49"/>
      <c r="M386" s="49"/>
      <c r="N386" s="49"/>
      <c r="O386" s="49"/>
      <c r="P386" s="49"/>
      <c r="Q386" s="49"/>
      <c r="R386" s="49"/>
      <c r="S386" s="49"/>
      <c r="T386" s="49"/>
      <c r="U386" s="49"/>
      <c r="V386" s="49"/>
      <c r="W386" s="49"/>
      <c r="X386" s="49"/>
      <c r="Y386" s="49"/>
      <c r="Z386" s="49"/>
      <c r="AA386" s="49"/>
      <c r="AB386" s="49"/>
      <c r="AC386" s="49"/>
      <c r="AD386" s="49"/>
      <c r="AE386" s="49"/>
      <c r="AF386" s="49"/>
      <c r="AG386" s="49"/>
      <c r="AH386" s="49"/>
      <c r="AI386" s="49"/>
      <c r="AJ386" s="49"/>
      <c r="AK386" s="49"/>
      <c r="AL386" s="40">
        <f t="shared" si="30"/>
        <v>0</v>
      </c>
      <c r="AM386" s="37">
        <f t="shared" si="31"/>
        <v>0</v>
      </c>
      <c r="AN386" s="37">
        <f t="shared" si="32"/>
        <v>0</v>
      </c>
      <c r="AO386" s="38" t="e">
        <f t="shared" si="33"/>
        <v>#DIV/0!</v>
      </c>
      <c r="AP386" s="38" t="e">
        <f t="shared" si="34"/>
        <v>#DIV/0!</v>
      </c>
      <c r="AQ386" s="39" t="e">
        <f t="shared" si="35"/>
        <v>#DIV/0!</v>
      </c>
    </row>
    <row r="387" spans="1:43" ht="20.100000000000001" customHeight="1" x14ac:dyDescent="0.25">
      <c r="A387" s="8">
        <v>385</v>
      </c>
      <c r="B387" s="48"/>
      <c r="C387" s="48"/>
      <c r="D387" s="48"/>
      <c r="E387" s="49"/>
      <c r="F387" s="49"/>
      <c r="G387" s="49"/>
      <c r="H387" s="49"/>
      <c r="I387" s="49"/>
      <c r="J387" s="49"/>
      <c r="K387" s="49"/>
      <c r="L387" s="49"/>
      <c r="M387" s="49"/>
      <c r="N387" s="49"/>
      <c r="O387" s="49"/>
      <c r="P387" s="49"/>
      <c r="Q387" s="49"/>
      <c r="R387" s="49"/>
      <c r="S387" s="49"/>
      <c r="T387" s="49"/>
      <c r="U387" s="49"/>
      <c r="V387" s="49"/>
      <c r="W387" s="49"/>
      <c r="X387" s="49"/>
      <c r="Y387" s="49"/>
      <c r="Z387" s="49"/>
      <c r="AA387" s="49"/>
      <c r="AB387" s="49"/>
      <c r="AC387" s="49"/>
      <c r="AD387" s="49"/>
      <c r="AE387" s="49"/>
      <c r="AF387" s="49"/>
      <c r="AG387" s="49"/>
      <c r="AH387" s="49"/>
      <c r="AI387" s="49"/>
      <c r="AJ387" s="49"/>
      <c r="AK387" s="49"/>
      <c r="AL387" s="40">
        <f t="shared" ref="AL387:AL402" si="36">COUNTIF($H387:$AK387,1)</f>
        <v>0</v>
      </c>
      <c r="AM387" s="37">
        <f t="shared" ref="AM387:AM402" si="37">COUNTIF($H387:$AK387,0)</f>
        <v>0</v>
      </c>
      <c r="AN387" s="37">
        <f t="shared" si="32"/>
        <v>0</v>
      </c>
      <c r="AO387" s="38" t="e">
        <f t="shared" si="33"/>
        <v>#DIV/0!</v>
      </c>
      <c r="AP387" s="38" t="e">
        <f t="shared" si="34"/>
        <v>#DIV/0!</v>
      </c>
      <c r="AQ387" s="39" t="e">
        <f t="shared" si="35"/>
        <v>#DIV/0!</v>
      </c>
    </row>
    <row r="388" spans="1:43" ht="20.100000000000001" customHeight="1" x14ac:dyDescent="0.25">
      <c r="A388" s="8">
        <v>386</v>
      </c>
      <c r="B388" s="48"/>
      <c r="C388" s="48"/>
      <c r="D388" s="48"/>
      <c r="E388" s="49"/>
      <c r="F388" s="49"/>
      <c r="G388" s="49"/>
      <c r="H388" s="49"/>
      <c r="I388" s="49"/>
      <c r="J388" s="49"/>
      <c r="K388" s="49"/>
      <c r="L388" s="49"/>
      <c r="M388" s="49"/>
      <c r="N388" s="49"/>
      <c r="O388" s="49"/>
      <c r="P388" s="49"/>
      <c r="Q388" s="49"/>
      <c r="R388" s="49"/>
      <c r="S388" s="49"/>
      <c r="T388" s="49"/>
      <c r="U388" s="49"/>
      <c r="V388" s="49"/>
      <c r="W388" s="49"/>
      <c r="X388" s="49"/>
      <c r="Y388" s="49"/>
      <c r="Z388" s="49"/>
      <c r="AA388" s="49"/>
      <c r="AB388" s="49"/>
      <c r="AC388" s="49"/>
      <c r="AD388" s="49"/>
      <c r="AE388" s="49"/>
      <c r="AF388" s="49"/>
      <c r="AG388" s="49"/>
      <c r="AH388" s="49"/>
      <c r="AI388" s="49"/>
      <c r="AJ388" s="49"/>
      <c r="AK388" s="49"/>
      <c r="AL388" s="40">
        <f t="shared" si="36"/>
        <v>0</v>
      </c>
      <c r="AM388" s="37">
        <f t="shared" si="37"/>
        <v>0</v>
      </c>
      <c r="AN388" s="37">
        <f t="shared" ref="AN388:AN402" si="38">SUM(AL388:AM388)</f>
        <v>0</v>
      </c>
      <c r="AO388" s="38" t="e">
        <f t="shared" ref="AO388:AO402" si="39">(AL388/AN388)*100</f>
        <v>#DIV/0!</v>
      </c>
      <c r="AP388" s="38" t="e">
        <f t="shared" ref="AP388:AP402" si="40">(AM388/AN388)*100</f>
        <v>#DIV/0!</v>
      </c>
      <c r="AQ388" s="39" t="e">
        <f t="shared" ref="AQ388:AQ402" si="41">SUM(AO388:AP388)</f>
        <v>#DIV/0!</v>
      </c>
    </row>
    <row r="389" spans="1:43" ht="20.100000000000001" customHeight="1" x14ac:dyDescent="0.25">
      <c r="A389" s="8">
        <v>387</v>
      </c>
      <c r="B389" s="48"/>
      <c r="C389" s="48"/>
      <c r="D389" s="48"/>
      <c r="E389" s="49"/>
      <c r="F389" s="49"/>
      <c r="G389" s="49"/>
      <c r="H389" s="49"/>
      <c r="I389" s="49"/>
      <c r="J389" s="49"/>
      <c r="K389" s="49"/>
      <c r="L389" s="49"/>
      <c r="M389" s="49"/>
      <c r="N389" s="49"/>
      <c r="O389" s="49"/>
      <c r="P389" s="49"/>
      <c r="Q389" s="49"/>
      <c r="R389" s="49"/>
      <c r="S389" s="49"/>
      <c r="T389" s="49"/>
      <c r="U389" s="49"/>
      <c r="V389" s="49"/>
      <c r="W389" s="49"/>
      <c r="X389" s="49"/>
      <c r="Y389" s="49"/>
      <c r="Z389" s="49"/>
      <c r="AA389" s="49"/>
      <c r="AB389" s="49"/>
      <c r="AC389" s="49"/>
      <c r="AD389" s="49"/>
      <c r="AE389" s="49"/>
      <c r="AF389" s="49"/>
      <c r="AG389" s="49"/>
      <c r="AH389" s="49"/>
      <c r="AI389" s="49"/>
      <c r="AJ389" s="49"/>
      <c r="AK389" s="49"/>
      <c r="AL389" s="40">
        <f t="shared" si="36"/>
        <v>0</v>
      </c>
      <c r="AM389" s="37">
        <f t="shared" si="37"/>
        <v>0</v>
      </c>
      <c r="AN389" s="37">
        <f t="shared" si="38"/>
        <v>0</v>
      </c>
      <c r="AO389" s="38" t="e">
        <f t="shared" si="39"/>
        <v>#DIV/0!</v>
      </c>
      <c r="AP389" s="38" t="e">
        <f t="shared" si="40"/>
        <v>#DIV/0!</v>
      </c>
      <c r="AQ389" s="39" t="e">
        <f t="shared" si="41"/>
        <v>#DIV/0!</v>
      </c>
    </row>
    <row r="390" spans="1:43" ht="20.100000000000001" customHeight="1" x14ac:dyDescent="0.25">
      <c r="A390" s="8">
        <v>388</v>
      </c>
      <c r="B390" s="48"/>
      <c r="C390" s="48"/>
      <c r="D390" s="48"/>
      <c r="E390" s="49"/>
      <c r="F390" s="49"/>
      <c r="G390" s="49"/>
      <c r="H390" s="49"/>
      <c r="I390" s="49"/>
      <c r="J390" s="49"/>
      <c r="K390" s="49"/>
      <c r="L390" s="49"/>
      <c r="M390" s="49"/>
      <c r="N390" s="49"/>
      <c r="O390" s="49"/>
      <c r="P390" s="49"/>
      <c r="Q390" s="49"/>
      <c r="R390" s="49"/>
      <c r="S390" s="49"/>
      <c r="T390" s="49"/>
      <c r="U390" s="49"/>
      <c r="V390" s="49"/>
      <c r="W390" s="49"/>
      <c r="X390" s="49"/>
      <c r="Y390" s="49"/>
      <c r="Z390" s="49"/>
      <c r="AA390" s="49"/>
      <c r="AB390" s="49"/>
      <c r="AC390" s="49"/>
      <c r="AD390" s="49"/>
      <c r="AE390" s="49"/>
      <c r="AF390" s="49"/>
      <c r="AG390" s="49"/>
      <c r="AH390" s="49"/>
      <c r="AI390" s="49"/>
      <c r="AJ390" s="49"/>
      <c r="AK390" s="49"/>
      <c r="AL390" s="40">
        <f t="shared" si="36"/>
        <v>0</v>
      </c>
      <c r="AM390" s="37">
        <f t="shared" si="37"/>
        <v>0</v>
      </c>
      <c r="AN390" s="37">
        <f t="shared" si="38"/>
        <v>0</v>
      </c>
      <c r="AO390" s="38" t="e">
        <f t="shared" si="39"/>
        <v>#DIV/0!</v>
      </c>
      <c r="AP390" s="38" t="e">
        <f t="shared" si="40"/>
        <v>#DIV/0!</v>
      </c>
      <c r="AQ390" s="39" t="e">
        <f t="shared" si="41"/>
        <v>#DIV/0!</v>
      </c>
    </row>
    <row r="391" spans="1:43" ht="20.100000000000001" customHeight="1" x14ac:dyDescent="0.25">
      <c r="A391" s="8">
        <v>389</v>
      </c>
      <c r="B391" s="48"/>
      <c r="C391" s="48"/>
      <c r="D391" s="48"/>
      <c r="E391" s="49"/>
      <c r="F391" s="49"/>
      <c r="G391" s="49"/>
      <c r="H391" s="49"/>
      <c r="I391" s="49"/>
      <c r="J391" s="49"/>
      <c r="K391" s="49"/>
      <c r="L391" s="49"/>
      <c r="M391" s="49"/>
      <c r="N391" s="49"/>
      <c r="O391" s="49"/>
      <c r="P391" s="49"/>
      <c r="Q391" s="49"/>
      <c r="R391" s="49"/>
      <c r="S391" s="49"/>
      <c r="T391" s="49"/>
      <c r="U391" s="49"/>
      <c r="V391" s="49"/>
      <c r="W391" s="49"/>
      <c r="X391" s="49"/>
      <c r="Y391" s="49"/>
      <c r="Z391" s="49"/>
      <c r="AA391" s="49"/>
      <c r="AB391" s="49"/>
      <c r="AC391" s="49"/>
      <c r="AD391" s="49"/>
      <c r="AE391" s="49"/>
      <c r="AF391" s="49"/>
      <c r="AG391" s="49"/>
      <c r="AH391" s="49"/>
      <c r="AI391" s="49"/>
      <c r="AJ391" s="49"/>
      <c r="AK391" s="49"/>
      <c r="AL391" s="40">
        <f t="shared" si="36"/>
        <v>0</v>
      </c>
      <c r="AM391" s="37">
        <f t="shared" si="37"/>
        <v>0</v>
      </c>
      <c r="AN391" s="37">
        <f t="shared" si="38"/>
        <v>0</v>
      </c>
      <c r="AO391" s="38" t="e">
        <f t="shared" si="39"/>
        <v>#DIV/0!</v>
      </c>
      <c r="AP391" s="38" t="e">
        <f t="shared" si="40"/>
        <v>#DIV/0!</v>
      </c>
      <c r="AQ391" s="39" t="e">
        <f t="shared" si="41"/>
        <v>#DIV/0!</v>
      </c>
    </row>
    <row r="392" spans="1:43" ht="20.100000000000001" customHeight="1" x14ac:dyDescent="0.25">
      <c r="A392" s="8">
        <v>390</v>
      </c>
      <c r="B392" s="48"/>
      <c r="C392" s="48"/>
      <c r="D392" s="48"/>
      <c r="E392" s="49"/>
      <c r="F392" s="49"/>
      <c r="G392" s="49"/>
      <c r="H392" s="49"/>
      <c r="I392" s="49"/>
      <c r="J392" s="49"/>
      <c r="K392" s="49"/>
      <c r="L392" s="49"/>
      <c r="M392" s="49"/>
      <c r="N392" s="49"/>
      <c r="O392" s="49"/>
      <c r="P392" s="49"/>
      <c r="Q392" s="49"/>
      <c r="R392" s="49"/>
      <c r="S392" s="49"/>
      <c r="T392" s="49"/>
      <c r="U392" s="49"/>
      <c r="V392" s="49"/>
      <c r="W392" s="49"/>
      <c r="X392" s="49"/>
      <c r="Y392" s="49"/>
      <c r="Z392" s="49"/>
      <c r="AA392" s="49"/>
      <c r="AB392" s="49"/>
      <c r="AC392" s="49"/>
      <c r="AD392" s="49"/>
      <c r="AE392" s="49"/>
      <c r="AF392" s="49"/>
      <c r="AG392" s="49"/>
      <c r="AH392" s="49"/>
      <c r="AI392" s="49"/>
      <c r="AJ392" s="49"/>
      <c r="AK392" s="49"/>
      <c r="AL392" s="40">
        <f t="shared" si="36"/>
        <v>0</v>
      </c>
      <c r="AM392" s="37">
        <f t="shared" si="37"/>
        <v>0</v>
      </c>
      <c r="AN392" s="37">
        <f t="shared" si="38"/>
        <v>0</v>
      </c>
      <c r="AO392" s="38" t="e">
        <f t="shared" si="39"/>
        <v>#DIV/0!</v>
      </c>
      <c r="AP392" s="38" t="e">
        <f t="shared" si="40"/>
        <v>#DIV/0!</v>
      </c>
      <c r="AQ392" s="39" t="e">
        <f t="shared" si="41"/>
        <v>#DIV/0!</v>
      </c>
    </row>
    <row r="393" spans="1:43" ht="20.100000000000001" customHeight="1" x14ac:dyDescent="0.25">
      <c r="A393" s="8">
        <v>391</v>
      </c>
      <c r="B393" s="48"/>
      <c r="C393" s="48"/>
      <c r="D393" s="48"/>
      <c r="E393" s="49"/>
      <c r="F393" s="49"/>
      <c r="G393" s="49"/>
      <c r="H393" s="49"/>
      <c r="I393" s="49"/>
      <c r="J393" s="49"/>
      <c r="K393" s="49"/>
      <c r="L393" s="49"/>
      <c r="M393" s="49"/>
      <c r="N393" s="49"/>
      <c r="O393" s="49"/>
      <c r="P393" s="49"/>
      <c r="Q393" s="49"/>
      <c r="R393" s="49"/>
      <c r="S393" s="49"/>
      <c r="T393" s="49"/>
      <c r="U393" s="49"/>
      <c r="V393" s="49"/>
      <c r="W393" s="49"/>
      <c r="X393" s="49"/>
      <c r="Y393" s="49"/>
      <c r="Z393" s="49"/>
      <c r="AA393" s="49"/>
      <c r="AB393" s="49"/>
      <c r="AC393" s="49"/>
      <c r="AD393" s="49"/>
      <c r="AE393" s="49"/>
      <c r="AF393" s="49"/>
      <c r="AG393" s="49"/>
      <c r="AH393" s="49"/>
      <c r="AI393" s="49"/>
      <c r="AJ393" s="49"/>
      <c r="AK393" s="49"/>
      <c r="AL393" s="40">
        <f t="shared" si="36"/>
        <v>0</v>
      </c>
      <c r="AM393" s="37">
        <f t="shared" si="37"/>
        <v>0</v>
      </c>
      <c r="AN393" s="37">
        <f t="shared" si="38"/>
        <v>0</v>
      </c>
      <c r="AO393" s="38" t="e">
        <f t="shared" si="39"/>
        <v>#DIV/0!</v>
      </c>
      <c r="AP393" s="38" t="e">
        <f t="shared" si="40"/>
        <v>#DIV/0!</v>
      </c>
      <c r="AQ393" s="39" t="e">
        <f t="shared" si="41"/>
        <v>#DIV/0!</v>
      </c>
    </row>
    <row r="394" spans="1:43" ht="20.100000000000001" customHeight="1" x14ac:dyDescent="0.25">
      <c r="A394" s="8">
        <v>392</v>
      </c>
      <c r="B394" s="48"/>
      <c r="C394" s="48"/>
      <c r="D394" s="48"/>
      <c r="E394" s="49"/>
      <c r="F394" s="49"/>
      <c r="G394" s="49"/>
      <c r="H394" s="49"/>
      <c r="I394" s="49"/>
      <c r="J394" s="49"/>
      <c r="K394" s="49"/>
      <c r="L394" s="49"/>
      <c r="M394" s="49"/>
      <c r="N394" s="49"/>
      <c r="O394" s="49"/>
      <c r="P394" s="49"/>
      <c r="Q394" s="49"/>
      <c r="R394" s="49"/>
      <c r="S394" s="49"/>
      <c r="T394" s="49"/>
      <c r="U394" s="49"/>
      <c r="V394" s="49"/>
      <c r="W394" s="49"/>
      <c r="X394" s="49"/>
      <c r="Y394" s="49"/>
      <c r="Z394" s="49"/>
      <c r="AA394" s="49"/>
      <c r="AB394" s="49"/>
      <c r="AC394" s="49"/>
      <c r="AD394" s="49"/>
      <c r="AE394" s="49"/>
      <c r="AF394" s="49"/>
      <c r="AG394" s="49"/>
      <c r="AH394" s="49"/>
      <c r="AI394" s="49"/>
      <c r="AJ394" s="49"/>
      <c r="AK394" s="49"/>
      <c r="AL394" s="40">
        <f t="shared" si="36"/>
        <v>0</v>
      </c>
      <c r="AM394" s="37">
        <f t="shared" si="37"/>
        <v>0</v>
      </c>
      <c r="AN394" s="37">
        <f t="shared" si="38"/>
        <v>0</v>
      </c>
      <c r="AO394" s="38" t="e">
        <f t="shared" si="39"/>
        <v>#DIV/0!</v>
      </c>
      <c r="AP394" s="38" t="e">
        <f t="shared" si="40"/>
        <v>#DIV/0!</v>
      </c>
      <c r="AQ394" s="39" t="e">
        <f t="shared" si="41"/>
        <v>#DIV/0!</v>
      </c>
    </row>
    <row r="395" spans="1:43" ht="20.100000000000001" customHeight="1" x14ac:dyDescent="0.25">
      <c r="A395" s="8">
        <v>393</v>
      </c>
      <c r="B395" s="48"/>
      <c r="C395" s="48"/>
      <c r="D395" s="48"/>
      <c r="E395" s="49"/>
      <c r="F395" s="49"/>
      <c r="G395" s="49"/>
      <c r="H395" s="49"/>
      <c r="I395" s="49"/>
      <c r="J395" s="49"/>
      <c r="K395" s="49"/>
      <c r="L395" s="49"/>
      <c r="M395" s="49"/>
      <c r="N395" s="49"/>
      <c r="O395" s="49"/>
      <c r="P395" s="49"/>
      <c r="Q395" s="49"/>
      <c r="R395" s="49"/>
      <c r="S395" s="49"/>
      <c r="T395" s="49"/>
      <c r="U395" s="49"/>
      <c r="V395" s="49"/>
      <c r="W395" s="49"/>
      <c r="X395" s="49"/>
      <c r="Y395" s="49"/>
      <c r="Z395" s="49"/>
      <c r="AA395" s="49"/>
      <c r="AB395" s="49"/>
      <c r="AC395" s="49"/>
      <c r="AD395" s="49"/>
      <c r="AE395" s="49"/>
      <c r="AF395" s="49"/>
      <c r="AG395" s="49"/>
      <c r="AH395" s="49"/>
      <c r="AI395" s="49"/>
      <c r="AJ395" s="49"/>
      <c r="AK395" s="49"/>
      <c r="AL395" s="40">
        <f t="shared" si="36"/>
        <v>0</v>
      </c>
      <c r="AM395" s="37">
        <f t="shared" si="37"/>
        <v>0</v>
      </c>
      <c r="AN395" s="37">
        <f t="shared" si="38"/>
        <v>0</v>
      </c>
      <c r="AO395" s="38" t="e">
        <f t="shared" si="39"/>
        <v>#DIV/0!</v>
      </c>
      <c r="AP395" s="38" t="e">
        <f t="shared" si="40"/>
        <v>#DIV/0!</v>
      </c>
      <c r="AQ395" s="39" t="e">
        <f t="shared" si="41"/>
        <v>#DIV/0!</v>
      </c>
    </row>
    <row r="396" spans="1:43" ht="20.100000000000001" customHeight="1" x14ac:dyDescent="0.25">
      <c r="A396" s="8">
        <v>394</v>
      </c>
      <c r="B396" s="48"/>
      <c r="C396" s="48"/>
      <c r="D396" s="48"/>
      <c r="E396" s="49"/>
      <c r="F396" s="49"/>
      <c r="G396" s="49"/>
      <c r="H396" s="49"/>
      <c r="I396" s="49"/>
      <c r="J396" s="49"/>
      <c r="K396" s="49"/>
      <c r="L396" s="49"/>
      <c r="M396" s="49"/>
      <c r="N396" s="49"/>
      <c r="O396" s="49"/>
      <c r="P396" s="49"/>
      <c r="Q396" s="49"/>
      <c r="R396" s="49"/>
      <c r="S396" s="49"/>
      <c r="T396" s="49"/>
      <c r="U396" s="49"/>
      <c r="V396" s="49"/>
      <c r="W396" s="49"/>
      <c r="X396" s="49"/>
      <c r="Y396" s="49"/>
      <c r="Z396" s="49"/>
      <c r="AA396" s="49"/>
      <c r="AB396" s="49"/>
      <c r="AC396" s="49"/>
      <c r="AD396" s="49"/>
      <c r="AE396" s="49"/>
      <c r="AF396" s="49"/>
      <c r="AG396" s="49"/>
      <c r="AH396" s="49"/>
      <c r="AI396" s="49"/>
      <c r="AJ396" s="49"/>
      <c r="AK396" s="49"/>
      <c r="AL396" s="40">
        <f t="shared" si="36"/>
        <v>0</v>
      </c>
      <c r="AM396" s="37">
        <f t="shared" si="37"/>
        <v>0</v>
      </c>
      <c r="AN396" s="37">
        <f t="shared" si="38"/>
        <v>0</v>
      </c>
      <c r="AO396" s="38" t="e">
        <f t="shared" si="39"/>
        <v>#DIV/0!</v>
      </c>
      <c r="AP396" s="38" t="e">
        <f t="shared" si="40"/>
        <v>#DIV/0!</v>
      </c>
      <c r="AQ396" s="39" t="e">
        <f t="shared" si="41"/>
        <v>#DIV/0!</v>
      </c>
    </row>
    <row r="397" spans="1:43" ht="20.100000000000001" customHeight="1" x14ac:dyDescent="0.25">
      <c r="A397" s="8">
        <v>395</v>
      </c>
      <c r="B397" s="48"/>
      <c r="C397" s="48"/>
      <c r="D397" s="48"/>
      <c r="E397" s="49"/>
      <c r="F397" s="49"/>
      <c r="G397" s="49"/>
      <c r="H397" s="49"/>
      <c r="I397" s="49"/>
      <c r="J397" s="49"/>
      <c r="K397" s="49"/>
      <c r="L397" s="49"/>
      <c r="M397" s="49"/>
      <c r="N397" s="49"/>
      <c r="O397" s="49"/>
      <c r="P397" s="49"/>
      <c r="Q397" s="49"/>
      <c r="R397" s="49"/>
      <c r="S397" s="49"/>
      <c r="T397" s="49"/>
      <c r="U397" s="49"/>
      <c r="V397" s="49"/>
      <c r="W397" s="49"/>
      <c r="X397" s="49"/>
      <c r="Y397" s="49"/>
      <c r="Z397" s="49"/>
      <c r="AA397" s="49"/>
      <c r="AB397" s="49"/>
      <c r="AC397" s="49"/>
      <c r="AD397" s="49"/>
      <c r="AE397" s="49"/>
      <c r="AF397" s="49"/>
      <c r="AG397" s="49"/>
      <c r="AH397" s="49"/>
      <c r="AI397" s="49"/>
      <c r="AJ397" s="49"/>
      <c r="AK397" s="49"/>
      <c r="AL397" s="40">
        <f t="shared" si="36"/>
        <v>0</v>
      </c>
      <c r="AM397" s="37">
        <f t="shared" si="37"/>
        <v>0</v>
      </c>
      <c r="AN397" s="37">
        <f t="shared" si="38"/>
        <v>0</v>
      </c>
      <c r="AO397" s="38" t="e">
        <f t="shared" si="39"/>
        <v>#DIV/0!</v>
      </c>
      <c r="AP397" s="38" t="e">
        <f t="shared" si="40"/>
        <v>#DIV/0!</v>
      </c>
      <c r="AQ397" s="39" t="e">
        <f t="shared" si="41"/>
        <v>#DIV/0!</v>
      </c>
    </row>
    <row r="398" spans="1:43" ht="20.100000000000001" customHeight="1" x14ac:dyDescent="0.25">
      <c r="A398" s="8">
        <v>396</v>
      </c>
      <c r="B398" s="48"/>
      <c r="C398" s="48"/>
      <c r="D398" s="48"/>
      <c r="E398" s="49"/>
      <c r="F398" s="49"/>
      <c r="G398" s="49"/>
      <c r="H398" s="49"/>
      <c r="I398" s="49"/>
      <c r="J398" s="49"/>
      <c r="K398" s="49"/>
      <c r="L398" s="49"/>
      <c r="M398" s="49"/>
      <c r="N398" s="49"/>
      <c r="O398" s="49"/>
      <c r="P398" s="49"/>
      <c r="Q398" s="49"/>
      <c r="R398" s="49"/>
      <c r="S398" s="49"/>
      <c r="T398" s="49"/>
      <c r="U398" s="49"/>
      <c r="V398" s="49"/>
      <c r="W398" s="49"/>
      <c r="X398" s="49"/>
      <c r="Y398" s="49"/>
      <c r="Z398" s="49"/>
      <c r="AA398" s="49"/>
      <c r="AB398" s="49"/>
      <c r="AC398" s="49"/>
      <c r="AD398" s="49"/>
      <c r="AE398" s="49"/>
      <c r="AF398" s="49"/>
      <c r="AG398" s="49"/>
      <c r="AH398" s="49"/>
      <c r="AI398" s="49"/>
      <c r="AJ398" s="49"/>
      <c r="AK398" s="49"/>
      <c r="AL398" s="40">
        <f t="shared" si="36"/>
        <v>0</v>
      </c>
      <c r="AM398" s="37">
        <f t="shared" si="37"/>
        <v>0</v>
      </c>
      <c r="AN398" s="37">
        <f t="shared" si="38"/>
        <v>0</v>
      </c>
      <c r="AO398" s="38" t="e">
        <f t="shared" si="39"/>
        <v>#DIV/0!</v>
      </c>
      <c r="AP398" s="38" t="e">
        <f t="shared" si="40"/>
        <v>#DIV/0!</v>
      </c>
      <c r="AQ398" s="39" t="e">
        <f t="shared" si="41"/>
        <v>#DIV/0!</v>
      </c>
    </row>
    <row r="399" spans="1:43" ht="20.100000000000001" customHeight="1" x14ac:dyDescent="0.25">
      <c r="A399" s="8">
        <v>397</v>
      </c>
      <c r="B399" s="48"/>
      <c r="C399" s="48"/>
      <c r="D399" s="48"/>
      <c r="E399" s="49"/>
      <c r="F399" s="49"/>
      <c r="G399" s="49"/>
      <c r="H399" s="49"/>
      <c r="I399" s="49"/>
      <c r="J399" s="49"/>
      <c r="K399" s="49"/>
      <c r="L399" s="49"/>
      <c r="M399" s="49"/>
      <c r="N399" s="49"/>
      <c r="O399" s="49"/>
      <c r="P399" s="49"/>
      <c r="Q399" s="49"/>
      <c r="R399" s="49"/>
      <c r="S399" s="49"/>
      <c r="T399" s="49"/>
      <c r="U399" s="49"/>
      <c r="V399" s="49"/>
      <c r="W399" s="49"/>
      <c r="X399" s="49"/>
      <c r="Y399" s="49"/>
      <c r="Z399" s="49"/>
      <c r="AA399" s="49"/>
      <c r="AB399" s="49"/>
      <c r="AC399" s="49"/>
      <c r="AD399" s="49"/>
      <c r="AE399" s="49"/>
      <c r="AF399" s="49"/>
      <c r="AG399" s="49"/>
      <c r="AH399" s="49"/>
      <c r="AI399" s="49"/>
      <c r="AJ399" s="49"/>
      <c r="AK399" s="49"/>
      <c r="AL399" s="40">
        <f t="shared" si="36"/>
        <v>0</v>
      </c>
      <c r="AM399" s="37">
        <f t="shared" si="37"/>
        <v>0</v>
      </c>
      <c r="AN399" s="37">
        <f t="shared" si="38"/>
        <v>0</v>
      </c>
      <c r="AO399" s="38" t="e">
        <f t="shared" si="39"/>
        <v>#DIV/0!</v>
      </c>
      <c r="AP399" s="38" t="e">
        <f t="shared" si="40"/>
        <v>#DIV/0!</v>
      </c>
      <c r="AQ399" s="39" t="e">
        <f t="shared" si="41"/>
        <v>#DIV/0!</v>
      </c>
    </row>
    <row r="400" spans="1:43" ht="20.100000000000001" customHeight="1" x14ac:dyDescent="0.25">
      <c r="A400" s="8">
        <v>398</v>
      </c>
      <c r="B400" s="48"/>
      <c r="C400" s="48"/>
      <c r="D400" s="48"/>
      <c r="E400" s="49"/>
      <c r="F400" s="49"/>
      <c r="G400" s="49"/>
      <c r="H400" s="49"/>
      <c r="I400" s="49"/>
      <c r="J400" s="49"/>
      <c r="K400" s="49"/>
      <c r="L400" s="49"/>
      <c r="M400" s="49"/>
      <c r="N400" s="49"/>
      <c r="O400" s="49"/>
      <c r="P400" s="49"/>
      <c r="Q400" s="49"/>
      <c r="R400" s="49"/>
      <c r="S400" s="49"/>
      <c r="T400" s="49"/>
      <c r="U400" s="49"/>
      <c r="V400" s="49"/>
      <c r="W400" s="49"/>
      <c r="X400" s="49"/>
      <c r="Y400" s="49"/>
      <c r="Z400" s="49"/>
      <c r="AA400" s="49"/>
      <c r="AB400" s="49"/>
      <c r="AC400" s="49"/>
      <c r="AD400" s="49"/>
      <c r="AE400" s="49"/>
      <c r="AF400" s="49"/>
      <c r="AG400" s="49"/>
      <c r="AH400" s="49"/>
      <c r="AI400" s="49"/>
      <c r="AJ400" s="49"/>
      <c r="AK400" s="49"/>
      <c r="AL400" s="40">
        <f t="shared" si="36"/>
        <v>0</v>
      </c>
      <c r="AM400" s="37">
        <f t="shared" si="37"/>
        <v>0</v>
      </c>
      <c r="AN400" s="37">
        <f t="shared" si="38"/>
        <v>0</v>
      </c>
      <c r="AO400" s="38" t="e">
        <f t="shared" si="39"/>
        <v>#DIV/0!</v>
      </c>
      <c r="AP400" s="38" t="e">
        <f t="shared" si="40"/>
        <v>#DIV/0!</v>
      </c>
      <c r="AQ400" s="39" t="e">
        <f t="shared" si="41"/>
        <v>#DIV/0!</v>
      </c>
    </row>
    <row r="401" spans="1:43" ht="20.100000000000001" customHeight="1" x14ac:dyDescent="0.25">
      <c r="A401" s="8">
        <v>399</v>
      </c>
      <c r="B401" s="48"/>
      <c r="C401" s="48"/>
      <c r="D401" s="48"/>
      <c r="E401" s="49"/>
      <c r="F401" s="49"/>
      <c r="G401" s="49"/>
      <c r="H401" s="49"/>
      <c r="I401" s="49"/>
      <c r="J401" s="49"/>
      <c r="K401" s="49"/>
      <c r="L401" s="49"/>
      <c r="M401" s="49"/>
      <c r="N401" s="49"/>
      <c r="O401" s="49"/>
      <c r="P401" s="49"/>
      <c r="Q401" s="49"/>
      <c r="R401" s="49"/>
      <c r="S401" s="49"/>
      <c r="T401" s="49"/>
      <c r="U401" s="49"/>
      <c r="V401" s="49"/>
      <c r="W401" s="49"/>
      <c r="X401" s="49"/>
      <c r="Y401" s="49"/>
      <c r="Z401" s="49"/>
      <c r="AA401" s="49"/>
      <c r="AB401" s="49"/>
      <c r="AC401" s="49"/>
      <c r="AD401" s="49"/>
      <c r="AE401" s="49"/>
      <c r="AF401" s="49"/>
      <c r="AG401" s="49"/>
      <c r="AH401" s="49"/>
      <c r="AI401" s="49"/>
      <c r="AJ401" s="49"/>
      <c r="AK401" s="49"/>
      <c r="AL401" s="40">
        <f t="shared" si="36"/>
        <v>0</v>
      </c>
      <c r="AM401" s="37">
        <f t="shared" si="37"/>
        <v>0</v>
      </c>
      <c r="AN401" s="37">
        <f t="shared" si="38"/>
        <v>0</v>
      </c>
      <c r="AO401" s="38" t="e">
        <f t="shared" si="39"/>
        <v>#DIV/0!</v>
      </c>
      <c r="AP401" s="38" t="e">
        <f t="shared" si="40"/>
        <v>#DIV/0!</v>
      </c>
      <c r="AQ401" s="39" t="e">
        <f t="shared" si="41"/>
        <v>#DIV/0!</v>
      </c>
    </row>
    <row r="402" spans="1:43" ht="20.100000000000001" customHeight="1" thickBot="1" x14ac:dyDescent="0.3">
      <c r="A402" s="80">
        <v>400</v>
      </c>
      <c r="B402" s="85"/>
      <c r="C402" s="85"/>
      <c r="D402" s="85"/>
      <c r="E402" s="86"/>
      <c r="F402" s="86"/>
      <c r="G402" s="86"/>
      <c r="H402" s="86"/>
      <c r="I402" s="86"/>
      <c r="J402" s="86"/>
      <c r="K402" s="86"/>
      <c r="L402" s="86"/>
      <c r="M402" s="86"/>
      <c r="N402" s="86"/>
      <c r="O402" s="86"/>
      <c r="P402" s="86"/>
      <c r="Q402" s="86"/>
      <c r="R402" s="86"/>
      <c r="S402" s="86"/>
      <c r="T402" s="86"/>
      <c r="U402" s="86"/>
      <c r="V402" s="86"/>
      <c r="W402" s="86"/>
      <c r="X402" s="86"/>
      <c r="Y402" s="86"/>
      <c r="Z402" s="86"/>
      <c r="AA402" s="86"/>
      <c r="AB402" s="86"/>
      <c r="AC402" s="86"/>
      <c r="AD402" s="86"/>
      <c r="AE402" s="86"/>
      <c r="AF402" s="86"/>
      <c r="AG402" s="86"/>
      <c r="AH402" s="86"/>
      <c r="AI402" s="86"/>
      <c r="AJ402" s="86"/>
      <c r="AK402" s="86"/>
      <c r="AL402" s="81">
        <f t="shared" si="36"/>
        <v>0</v>
      </c>
      <c r="AM402" s="82">
        <f t="shared" si="37"/>
        <v>0</v>
      </c>
      <c r="AN402" s="82">
        <f t="shared" si="38"/>
        <v>0</v>
      </c>
      <c r="AO402" s="83" t="e">
        <f t="shared" si="39"/>
        <v>#DIV/0!</v>
      </c>
      <c r="AP402" s="83" t="e">
        <f t="shared" si="40"/>
        <v>#DIV/0!</v>
      </c>
      <c r="AQ402" s="84" t="e">
        <f t="shared" si="41"/>
        <v>#DIV/0!</v>
      </c>
    </row>
  </sheetData>
  <autoFilter ref="G1:G402"/>
  <mergeCells count="39">
    <mergeCell ref="AI1:AI2"/>
    <mergeCell ref="AJ1:AJ2"/>
    <mergeCell ref="AK1:AK2"/>
    <mergeCell ref="Y1:Y2"/>
    <mergeCell ref="Z1:Z2"/>
    <mergeCell ref="AA1:AA2"/>
    <mergeCell ref="AB1:AB2"/>
    <mergeCell ref="AC1:AC2"/>
    <mergeCell ref="AD1:AD2"/>
    <mergeCell ref="AE1:AE2"/>
    <mergeCell ref="AF1:AF2"/>
    <mergeCell ref="AG1:AG2"/>
    <mergeCell ref="AH1:AH2"/>
    <mergeCell ref="O1:O2"/>
    <mergeCell ref="P1:P2"/>
    <mergeCell ref="Q1:Q2"/>
    <mergeCell ref="R1:R2"/>
    <mergeCell ref="S1:S2"/>
    <mergeCell ref="T1:T2"/>
    <mergeCell ref="U1:U2"/>
    <mergeCell ref="V1:V2"/>
    <mergeCell ref="W1:W2"/>
    <mergeCell ref="X1:X2"/>
    <mergeCell ref="AL1:AN1"/>
    <mergeCell ref="AO1:AQ1"/>
    <mergeCell ref="A1:A2"/>
    <mergeCell ref="B1:B2"/>
    <mergeCell ref="C1:C2"/>
    <mergeCell ref="D1:D2"/>
    <mergeCell ref="E1:E2"/>
    <mergeCell ref="F1:F2"/>
    <mergeCell ref="G1:G2"/>
    <mergeCell ref="H1:H2"/>
    <mergeCell ref="I1:I2"/>
    <mergeCell ref="J1:J2"/>
    <mergeCell ref="K1:K2"/>
    <mergeCell ref="L1:L2"/>
    <mergeCell ref="M1:M2"/>
    <mergeCell ref="N1:N2"/>
  </mergeCells>
  <conditionalFormatting sqref="AL3:AL402">
    <cfRule type="cellIs" dxfId="7" priority="3" operator="lessThan">
      <formula>25</formula>
    </cfRule>
    <cfRule type="dataBar" priority="4">
      <dataBar>
        <cfvo type="min"/>
        <cfvo type="max"/>
        <color rgb="FF638EC6"/>
      </dataBar>
      <extLst>
        <ext xmlns:x14="http://schemas.microsoft.com/office/spreadsheetml/2009/9/main" uri="{B025F937-C7B1-47D3-B67F-A62EFF666E3E}">
          <x14:id>{BFAE8101-B112-47D0-B032-0B4E0DCEE7D0}</x14:id>
        </ext>
      </extLst>
    </cfRule>
  </conditionalFormatting>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BFAE8101-B112-47D0-B032-0B4E0DCEE7D0}">
            <x14:dataBar minLength="0" maxLength="100" gradient="0">
              <x14:cfvo type="autoMin"/>
              <x14:cfvo type="autoMax"/>
              <x14:negativeFillColor rgb="FFFF0000"/>
              <x14:axisColor rgb="FF000000"/>
            </x14:dataBar>
          </x14:cfRule>
          <xm:sqref>AL3:AL402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5" tint="-0.249977111117893"/>
  </sheetPr>
  <dimension ref="A1:AQ29"/>
  <sheetViews>
    <sheetView showGridLines="0" zoomScale="80" zoomScaleNormal="80" workbookViewId="0">
      <selection sqref="A1:A2"/>
    </sheetView>
  </sheetViews>
  <sheetFormatPr baseColWidth="10" defaultRowHeight="15" x14ac:dyDescent="0.25"/>
  <cols>
    <col min="1" max="1" width="35.7109375" style="13" customWidth="1"/>
    <col min="2" max="31" width="6.7109375" style="24" customWidth="1"/>
    <col min="32" max="32" width="1.7109375" style="13" customWidth="1"/>
    <col min="33" max="34" width="25.7109375" style="13" customWidth="1"/>
    <col min="35" max="36" width="25.7109375" style="24" customWidth="1"/>
    <col min="37" max="37" width="25.7109375" style="25" customWidth="1"/>
    <col min="38" max="38" width="25.7109375" style="13" customWidth="1"/>
    <col min="39" max="39" width="130.7109375" style="13" customWidth="1"/>
    <col min="40" max="41" width="12.7109375" style="24" customWidth="1"/>
    <col min="42" max="42" width="70.7109375" style="13" customWidth="1"/>
    <col min="43" max="43" width="11.42578125" style="13" customWidth="1"/>
    <col min="44" max="16384" width="11.42578125" style="13"/>
  </cols>
  <sheetData>
    <row r="1" spans="1:43" ht="39.950000000000003" customHeight="1" x14ac:dyDescent="0.25">
      <c r="A1" s="147" t="s">
        <v>48</v>
      </c>
      <c r="B1" s="149" t="s">
        <v>197</v>
      </c>
      <c r="C1" s="150"/>
      <c r="D1" s="150"/>
      <c r="E1" s="150"/>
      <c r="F1" s="150"/>
      <c r="G1" s="150"/>
      <c r="H1" s="150"/>
      <c r="I1" s="150"/>
      <c r="J1" s="150"/>
      <c r="K1" s="150"/>
      <c r="L1" s="150"/>
      <c r="M1" s="150"/>
      <c r="N1" s="150"/>
      <c r="O1" s="150"/>
      <c r="P1" s="150"/>
      <c r="Q1" s="150"/>
      <c r="R1" s="150"/>
      <c r="S1" s="150"/>
      <c r="T1" s="150"/>
      <c r="U1" s="150"/>
      <c r="V1" s="150"/>
      <c r="W1" s="150"/>
      <c r="X1" s="150"/>
      <c r="Y1" s="150"/>
      <c r="Z1" s="150"/>
      <c r="AA1" s="150"/>
      <c r="AB1" s="150"/>
      <c r="AC1" s="150"/>
      <c r="AD1" s="150"/>
      <c r="AE1" s="151"/>
      <c r="AF1" s="9"/>
      <c r="AG1" s="152" t="s">
        <v>49</v>
      </c>
      <c r="AH1" s="153"/>
      <c r="AI1" s="10" t="s">
        <v>50</v>
      </c>
      <c r="AJ1" s="6" t="s">
        <v>51</v>
      </c>
      <c r="AK1" s="7" t="s">
        <v>41</v>
      </c>
      <c r="AL1" s="9"/>
      <c r="AM1" s="11" t="s">
        <v>52</v>
      </c>
      <c r="AN1" s="10" t="s">
        <v>50</v>
      </c>
      <c r="AO1" s="10" t="s">
        <v>51</v>
      </c>
      <c r="AP1" s="50" t="s">
        <v>53</v>
      </c>
      <c r="AQ1" s="12"/>
    </row>
    <row r="2" spans="1:43" ht="15" customHeight="1" x14ac:dyDescent="0.25">
      <c r="A2" s="148"/>
      <c r="B2" s="54" t="s">
        <v>6</v>
      </c>
      <c r="C2" s="54" t="s">
        <v>7</v>
      </c>
      <c r="D2" s="52" t="s">
        <v>8</v>
      </c>
      <c r="E2" s="52" t="s">
        <v>9</v>
      </c>
      <c r="F2" s="52" t="s">
        <v>10</v>
      </c>
      <c r="G2" s="56" t="s">
        <v>11</v>
      </c>
      <c r="H2" s="53" t="s">
        <v>12</v>
      </c>
      <c r="I2" s="51" t="s">
        <v>13</v>
      </c>
      <c r="J2" s="51" t="s">
        <v>14</v>
      </c>
      <c r="K2" s="54" t="s">
        <v>15</v>
      </c>
      <c r="L2" s="54" t="s">
        <v>16</v>
      </c>
      <c r="M2" s="52" t="s">
        <v>17</v>
      </c>
      <c r="N2" s="52" t="s">
        <v>18</v>
      </c>
      <c r="O2" s="53" t="s">
        <v>19</v>
      </c>
      <c r="P2" s="54" t="s">
        <v>20</v>
      </c>
      <c r="Q2" s="54" t="s">
        <v>21</v>
      </c>
      <c r="R2" s="52" t="s">
        <v>22</v>
      </c>
      <c r="S2" s="52" t="s">
        <v>23</v>
      </c>
      <c r="T2" s="56" t="s">
        <v>24</v>
      </c>
      <c r="U2" s="54" t="s">
        <v>25</v>
      </c>
      <c r="V2" s="54" t="s">
        <v>26</v>
      </c>
      <c r="W2" s="52" t="s">
        <v>27</v>
      </c>
      <c r="X2" s="56" t="s">
        <v>28</v>
      </c>
      <c r="Y2" s="56" t="s">
        <v>29</v>
      </c>
      <c r="Z2" s="54" t="s">
        <v>30</v>
      </c>
      <c r="AA2" s="54" t="s">
        <v>31</v>
      </c>
      <c r="AB2" s="54" t="s">
        <v>32</v>
      </c>
      <c r="AC2" s="56" t="s">
        <v>33</v>
      </c>
      <c r="AD2" s="56" t="s">
        <v>34</v>
      </c>
      <c r="AE2" s="71" t="s">
        <v>35</v>
      </c>
      <c r="AF2" s="9"/>
      <c r="AG2" s="154" t="s">
        <v>76</v>
      </c>
      <c r="AH2" s="155"/>
      <c r="AI2" s="97" t="e">
        <f>((H3+O3)/($H$5+$O$5))*100</f>
        <v>#DIV/0!</v>
      </c>
      <c r="AJ2" s="98" t="e">
        <f>((H4+O4)/($H$5+$O$5))*100</f>
        <v>#DIV/0!</v>
      </c>
      <c r="AK2" s="99" t="e">
        <f>SUM(AI2:AJ2)</f>
        <v>#DIV/0!</v>
      </c>
      <c r="AL2" s="9"/>
      <c r="AM2" s="14" t="s">
        <v>198</v>
      </c>
      <c r="AN2" s="104" t="e">
        <f>(AE3/$AE$5)*100</f>
        <v>#DIV/0!</v>
      </c>
      <c r="AO2" s="104" t="e">
        <f>(AE4/$AE$5)*100</f>
        <v>#DIV/0!</v>
      </c>
      <c r="AP2" s="105" t="e">
        <f>REPT("I",AN2/1)&amp;" "&amp;TEXT(AN2,"0.0")&amp;"%"</f>
        <v>#DIV/0!</v>
      </c>
      <c r="AQ2" s="12"/>
    </row>
    <row r="3" spans="1:43" ht="15" customHeight="1" x14ac:dyDescent="0.25">
      <c r="A3" s="15" t="s">
        <v>55</v>
      </c>
      <c r="B3" s="89">
        <f>SUBTOTAL(9,'Matemáticas por escuela'!H3:H402)</f>
        <v>0</v>
      </c>
      <c r="C3" s="89">
        <f>SUBTOTAL(9,'Matemáticas por escuela'!I3:I402)</f>
        <v>0</v>
      </c>
      <c r="D3" s="89">
        <f>SUBTOTAL(9,'Matemáticas por escuela'!J3:J402)</f>
        <v>0</v>
      </c>
      <c r="E3" s="89">
        <f>SUBTOTAL(9,'Matemáticas por escuela'!K3:K402)</f>
        <v>0</v>
      </c>
      <c r="F3" s="89">
        <f>SUBTOTAL(9,'Matemáticas por escuela'!L3:L402)</f>
        <v>0</v>
      </c>
      <c r="G3" s="89">
        <f>SUBTOTAL(9,'Matemáticas por escuela'!M3:M402)</f>
        <v>0</v>
      </c>
      <c r="H3" s="89">
        <f>SUBTOTAL(9,'Matemáticas por escuela'!N3:N402)</f>
        <v>0</v>
      </c>
      <c r="I3" s="89">
        <f>SUBTOTAL(9,'Matemáticas por escuela'!O3:O402)</f>
        <v>0</v>
      </c>
      <c r="J3" s="89">
        <f>SUBTOTAL(9,'Matemáticas por escuela'!P3:P402)</f>
        <v>0</v>
      </c>
      <c r="K3" s="89">
        <f>SUBTOTAL(9,'Matemáticas por escuela'!Q3:Q402)</f>
        <v>0</v>
      </c>
      <c r="L3" s="89">
        <f>SUBTOTAL(9,'Matemáticas por escuela'!R3:R402)</f>
        <v>0</v>
      </c>
      <c r="M3" s="89">
        <f>SUBTOTAL(9,'Matemáticas por escuela'!S3:S402)</f>
        <v>0</v>
      </c>
      <c r="N3" s="89">
        <f>SUBTOTAL(9,'Matemáticas por escuela'!T3:T402)</f>
        <v>0</v>
      </c>
      <c r="O3" s="89">
        <f>SUBTOTAL(9,'Matemáticas por escuela'!U3:U402)</f>
        <v>0</v>
      </c>
      <c r="P3" s="89">
        <f>SUBTOTAL(9,'Matemáticas por escuela'!V3:V402)</f>
        <v>0</v>
      </c>
      <c r="Q3" s="89">
        <f>SUBTOTAL(9,'Matemáticas por escuela'!W3:W402)</f>
        <v>0</v>
      </c>
      <c r="R3" s="89">
        <f>SUBTOTAL(9,'Matemáticas por escuela'!X3:X402)</f>
        <v>0</v>
      </c>
      <c r="S3" s="89">
        <f>SUBTOTAL(9,'Matemáticas por escuela'!Y3:Y402)</f>
        <v>0</v>
      </c>
      <c r="T3" s="89">
        <f>SUBTOTAL(9,'Matemáticas por escuela'!Z3:Z402)</f>
        <v>0</v>
      </c>
      <c r="U3" s="89">
        <f>SUBTOTAL(9,'Matemáticas por escuela'!AA3:AA402)</f>
        <v>0</v>
      </c>
      <c r="V3" s="89">
        <f>SUBTOTAL(9,'Matemáticas por escuela'!AB3:AB402)</f>
        <v>0</v>
      </c>
      <c r="W3" s="89">
        <f>SUBTOTAL(9,'Matemáticas por escuela'!AC3:AC402)</f>
        <v>0</v>
      </c>
      <c r="X3" s="89">
        <f>SUBTOTAL(9,'Matemáticas por escuela'!AD3:AD402)</f>
        <v>0</v>
      </c>
      <c r="Y3" s="89">
        <f>SUBTOTAL(9,'Matemáticas por escuela'!AE3:AE402)</f>
        <v>0</v>
      </c>
      <c r="Z3" s="89">
        <f>SUBTOTAL(9,'Matemáticas por escuela'!AF3:AF402)</f>
        <v>0</v>
      </c>
      <c r="AA3" s="89">
        <f>SUBTOTAL(9,'Matemáticas por escuela'!AG3:AG402)</f>
        <v>0</v>
      </c>
      <c r="AB3" s="89">
        <f>SUBTOTAL(9,'Matemáticas por escuela'!AH3:AH402)</f>
        <v>0</v>
      </c>
      <c r="AC3" s="89">
        <f>SUBTOTAL(9,'Matemáticas por escuela'!AI3:AI402)</f>
        <v>0</v>
      </c>
      <c r="AD3" s="89">
        <f>SUBTOTAL(9,'Matemáticas por escuela'!AJ3:AJ402)</f>
        <v>0</v>
      </c>
      <c r="AE3" s="90">
        <f>SUBTOTAL(9,'Matemáticas por escuela'!AK3:AK402)</f>
        <v>0</v>
      </c>
      <c r="AF3" s="9"/>
      <c r="AG3" s="156" t="s">
        <v>77</v>
      </c>
      <c r="AH3" s="157"/>
      <c r="AI3" s="97" t="e">
        <f>((I3+J3+AE3)/($I$5+$J$5+$AE$5))*100</f>
        <v>#DIV/0!</v>
      </c>
      <c r="AJ3" s="100" t="e">
        <f>((I4+J4+AE4)/($I$5+$J$5+$AE$5))*100</f>
        <v>#DIV/0!</v>
      </c>
      <c r="AK3" s="99" t="e">
        <f>SUM(AI3:AJ3)</f>
        <v>#DIV/0!</v>
      </c>
      <c r="AL3" s="9"/>
      <c r="AM3" s="14" t="s">
        <v>199</v>
      </c>
      <c r="AN3" s="104" t="e">
        <f>((I3+J3)/($I$5+$J$5))*100</f>
        <v>#DIV/0!</v>
      </c>
      <c r="AO3" s="104" t="e">
        <f>((I4+J4)/($I$5+$J$5))*100</f>
        <v>#DIV/0!</v>
      </c>
      <c r="AP3" s="105" t="e">
        <f t="shared" ref="AP3:AP28" si="0">REPT("I",AN3/1)&amp;" "&amp;TEXT(AN3,"0.0")&amp;"%"</f>
        <v>#DIV/0!</v>
      </c>
      <c r="AQ3" s="12"/>
    </row>
    <row r="4" spans="1:43" ht="15" customHeight="1" x14ac:dyDescent="0.25">
      <c r="A4" s="15" t="s">
        <v>57</v>
      </c>
      <c r="B4" s="89">
        <f>B5-B3</f>
        <v>0</v>
      </c>
      <c r="C4" s="89">
        <f t="shared" ref="C4:AE4" si="1">C5-C3</f>
        <v>0</v>
      </c>
      <c r="D4" s="89">
        <f t="shared" si="1"/>
        <v>0</v>
      </c>
      <c r="E4" s="89">
        <f t="shared" si="1"/>
        <v>0</v>
      </c>
      <c r="F4" s="89">
        <f t="shared" si="1"/>
        <v>0</v>
      </c>
      <c r="G4" s="89">
        <f t="shared" si="1"/>
        <v>0</v>
      </c>
      <c r="H4" s="89">
        <f t="shared" si="1"/>
        <v>0</v>
      </c>
      <c r="I4" s="89">
        <f t="shared" si="1"/>
        <v>0</v>
      </c>
      <c r="J4" s="89">
        <f t="shared" si="1"/>
        <v>0</v>
      </c>
      <c r="K4" s="89">
        <f t="shared" si="1"/>
        <v>0</v>
      </c>
      <c r="L4" s="89">
        <f t="shared" si="1"/>
        <v>0</v>
      </c>
      <c r="M4" s="89">
        <f t="shared" si="1"/>
        <v>0</v>
      </c>
      <c r="N4" s="89">
        <f t="shared" si="1"/>
        <v>0</v>
      </c>
      <c r="O4" s="89">
        <f t="shared" si="1"/>
        <v>0</v>
      </c>
      <c r="P4" s="89">
        <f t="shared" si="1"/>
        <v>0</v>
      </c>
      <c r="Q4" s="89">
        <f t="shared" si="1"/>
        <v>0</v>
      </c>
      <c r="R4" s="89">
        <f t="shared" si="1"/>
        <v>0</v>
      </c>
      <c r="S4" s="89">
        <f t="shared" si="1"/>
        <v>0</v>
      </c>
      <c r="T4" s="89">
        <f t="shared" si="1"/>
        <v>0</v>
      </c>
      <c r="U4" s="89">
        <f t="shared" si="1"/>
        <v>0</v>
      </c>
      <c r="V4" s="89">
        <f t="shared" si="1"/>
        <v>0</v>
      </c>
      <c r="W4" s="89">
        <f t="shared" si="1"/>
        <v>0</v>
      </c>
      <c r="X4" s="89">
        <f t="shared" si="1"/>
        <v>0</v>
      </c>
      <c r="Y4" s="89">
        <f t="shared" si="1"/>
        <v>0</v>
      </c>
      <c r="Z4" s="89">
        <f t="shared" si="1"/>
        <v>0</v>
      </c>
      <c r="AA4" s="89">
        <f t="shared" si="1"/>
        <v>0</v>
      </c>
      <c r="AB4" s="89">
        <f t="shared" si="1"/>
        <v>0</v>
      </c>
      <c r="AC4" s="89">
        <f t="shared" si="1"/>
        <v>0</v>
      </c>
      <c r="AD4" s="89">
        <f t="shared" si="1"/>
        <v>0</v>
      </c>
      <c r="AE4" s="90">
        <f t="shared" si="1"/>
        <v>0</v>
      </c>
      <c r="AF4" s="9"/>
      <c r="AG4" s="158" t="s">
        <v>78</v>
      </c>
      <c r="AH4" s="159"/>
      <c r="AI4" s="97" t="e">
        <f>((B3+C3+K3+L3+P3+Q3+U3+V3+Z3+AA3+AB3)/($B$5+$C$5+$K$5+$L$5+$P$5+$Q$5+$U$5+$V$5+$Z$5+$AA$5+$AB$5))*100</f>
        <v>#DIV/0!</v>
      </c>
      <c r="AJ4" s="100" t="e">
        <f>((B4+C4+K4+L4+P4+Q4+U4+V4+Z4+AA4+AB4)/($B$5+$C$5+$K$5+$L$5+$P$5+$Q$5+$U$5+$V$5+$Z$5+$AA$5+$AB$5))*100</f>
        <v>#DIV/0!</v>
      </c>
      <c r="AK4" s="99" t="e">
        <f>SUM(AI4:AJ4)</f>
        <v>#DIV/0!</v>
      </c>
      <c r="AL4" s="9"/>
      <c r="AM4" s="14" t="s">
        <v>200</v>
      </c>
      <c r="AN4" s="104" t="e">
        <f>(F3/$F$5)*100</f>
        <v>#DIV/0!</v>
      </c>
      <c r="AO4" s="104" t="e">
        <f>(F4/$F$5)*100</f>
        <v>#DIV/0!</v>
      </c>
      <c r="AP4" s="105" t="e">
        <f t="shared" si="0"/>
        <v>#DIV/0!</v>
      </c>
      <c r="AQ4" s="12"/>
    </row>
    <row r="5" spans="1:43" ht="15" customHeight="1" x14ac:dyDescent="0.25">
      <c r="A5" s="17" t="s">
        <v>41</v>
      </c>
      <c r="B5" s="89">
        <f>SUBTOTAL(3,'Matemáticas por escuela'!$D3:$D402)</f>
        <v>0</v>
      </c>
      <c r="C5" s="89">
        <f>SUBTOTAL(3,'Matemáticas por escuela'!$D3:$D402)</f>
        <v>0</v>
      </c>
      <c r="D5" s="89">
        <f>SUBTOTAL(3,'Matemáticas por escuela'!$D3:$D402)</f>
        <v>0</v>
      </c>
      <c r="E5" s="89">
        <f>SUBTOTAL(3,'Matemáticas por escuela'!$D3:$D402)</f>
        <v>0</v>
      </c>
      <c r="F5" s="89">
        <f>SUBTOTAL(3,'Matemáticas por escuela'!$D3:$D402)</f>
        <v>0</v>
      </c>
      <c r="G5" s="89">
        <f>SUBTOTAL(3,'Matemáticas por escuela'!$D3:$D402)</f>
        <v>0</v>
      </c>
      <c r="H5" s="89">
        <f>SUBTOTAL(3,'Matemáticas por escuela'!$D3:$D402)</f>
        <v>0</v>
      </c>
      <c r="I5" s="89">
        <f>SUBTOTAL(3,'Matemáticas por escuela'!$D3:$D402)</f>
        <v>0</v>
      </c>
      <c r="J5" s="89">
        <f>SUBTOTAL(3,'Matemáticas por escuela'!$D3:$D402)</f>
        <v>0</v>
      </c>
      <c r="K5" s="89">
        <f>SUBTOTAL(3,'Matemáticas por escuela'!$D3:$D402)</f>
        <v>0</v>
      </c>
      <c r="L5" s="89">
        <f>SUBTOTAL(3,'Matemáticas por escuela'!$D3:$D402)</f>
        <v>0</v>
      </c>
      <c r="M5" s="89">
        <f>SUBTOTAL(3,'Matemáticas por escuela'!$D3:$D402)</f>
        <v>0</v>
      </c>
      <c r="N5" s="89">
        <f>SUBTOTAL(3,'Matemáticas por escuela'!$D3:$D402)</f>
        <v>0</v>
      </c>
      <c r="O5" s="89">
        <f>SUBTOTAL(3,'Matemáticas por escuela'!$D3:$D402)</f>
        <v>0</v>
      </c>
      <c r="P5" s="89">
        <f>SUBTOTAL(3,'Matemáticas por escuela'!$D3:$D402)</f>
        <v>0</v>
      </c>
      <c r="Q5" s="89">
        <f>SUBTOTAL(3,'Matemáticas por escuela'!$D3:$D402)</f>
        <v>0</v>
      </c>
      <c r="R5" s="89">
        <f>SUBTOTAL(3,'Matemáticas por escuela'!$D3:$D402)</f>
        <v>0</v>
      </c>
      <c r="S5" s="89">
        <f>SUBTOTAL(3,'Matemáticas por escuela'!$D3:$D402)</f>
        <v>0</v>
      </c>
      <c r="T5" s="89">
        <f>SUBTOTAL(3,'Matemáticas por escuela'!$D3:$D402)</f>
        <v>0</v>
      </c>
      <c r="U5" s="89">
        <f>SUBTOTAL(3,'Matemáticas por escuela'!$D3:$D402)</f>
        <v>0</v>
      </c>
      <c r="V5" s="89">
        <f>SUBTOTAL(3,'Matemáticas por escuela'!$D3:$D402)</f>
        <v>0</v>
      </c>
      <c r="W5" s="89">
        <f>SUBTOTAL(3,'Matemáticas por escuela'!$D3:$D402)</f>
        <v>0</v>
      </c>
      <c r="X5" s="89">
        <f>SUBTOTAL(3,'Matemáticas por escuela'!$D3:$D402)</f>
        <v>0</v>
      </c>
      <c r="Y5" s="89">
        <f>SUBTOTAL(3,'Matemáticas por escuela'!$D3:$D402)</f>
        <v>0</v>
      </c>
      <c r="Z5" s="89">
        <f>SUBTOTAL(3,'Matemáticas por escuela'!$D3:$D402)</f>
        <v>0</v>
      </c>
      <c r="AA5" s="89">
        <f>SUBTOTAL(3,'Matemáticas por escuela'!$D3:$D402)</f>
        <v>0</v>
      </c>
      <c r="AB5" s="89">
        <f>SUBTOTAL(3,'Matemáticas por escuela'!$D3:$D402)</f>
        <v>0</v>
      </c>
      <c r="AC5" s="89">
        <f>SUBTOTAL(3,'Matemáticas por escuela'!$D3:$D402)</f>
        <v>0</v>
      </c>
      <c r="AD5" s="89">
        <f>SUBTOTAL(3,'Matemáticas por escuela'!$D3:$D402)</f>
        <v>0</v>
      </c>
      <c r="AE5" s="90">
        <f>SUBTOTAL(3,'Matemáticas por escuela'!$D3:$D402)</f>
        <v>0</v>
      </c>
      <c r="AF5" s="9"/>
      <c r="AG5" s="141" t="s">
        <v>79</v>
      </c>
      <c r="AH5" s="142"/>
      <c r="AI5" s="97" t="e">
        <f>((D3+E3+F3+M3+N3+R3+S3+W3)/($D$5+$E$5+$F$5+$M$5+$N$5+$R$5+$S$5+$W$5))*100</f>
        <v>#DIV/0!</v>
      </c>
      <c r="AJ5" s="100" t="e">
        <f>((D4+E4+F4+M4+N4+R4+S4+W4)/($D$5+$E$5+$F$5+$M$5+$N$5+$R$5+$S$5+$W$5))*100</f>
        <v>#DIV/0!</v>
      </c>
      <c r="AK5" s="99" t="e">
        <f>SUM(AI5:AJ5)</f>
        <v>#DIV/0!</v>
      </c>
      <c r="AL5" s="9"/>
      <c r="AM5" s="14" t="s">
        <v>201</v>
      </c>
      <c r="AN5" s="104" t="e">
        <f>(M3/$M$5)*100</f>
        <v>#DIV/0!</v>
      </c>
      <c r="AO5" s="104" t="e">
        <f>(M4/$M$5)*100</f>
        <v>#DIV/0!</v>
      </c>
      <c r="AP5" s="105" t="e">
        <f t="shared" si="0"/>
        <v>#DIV/0!</v>
      </c>
      <c r="AQ5" s="12"/>
    </row>
    <row r="6" spans="1:43" ht="15" customHeight="1" thickBot="1" x14ac:dyDescent="0.3">
      <c r="A6" s="15" t="s">
        <v>50</v>
      </c>
      <c r="B6" s="91" t="e">
        <f t="shared" ref="B6:AE7" si="2">(B3/B$5)*100</f>
        <v>#DIV/0!</v>
      </c>
      <c r="C6" s="91" t="e">
        <f t="shared" si="2"/>
        <v>#DIV/0!</v>
      </c>
      <c r="D6" s="91" t="e">
        <f t="shared" si="2"/>
        <v>#DIV/0!</v>
      </c>
      <c r="E6" s="91" t="e">
        <f t="shared" si="2"/>
        <v>#DIV/0!</v>
      </c>
      <c r="F6" s="91" t="e">
        <f t="shared" si="2"/>
        <v>#DIV/0!</v>
      </c>
      <c r="G6" s="91" t="e">
        <f t="shared" si="2"/>
        <v>#DIV/0!</v>
      </c>
      <c r="H6" s="91" t="e">
        <f t="shared" si="2"/>
        <v>#DIV/0!</v>
      </c>
      <c r="I6" s="91" t="e">
        <f t="shared" si="2"/>
        <v>#DIV/0!</v>
      </c>
      <c r="J6" s="91" t="e">
        <f t="shared" si="2"/>
        <v>#DIV/0!</v>
      </c>
      <c r="K6" s="91" t="e">
        <f t="shared" si="2"/>
        <v>#DIV/0!</v>
      </c>
      <c r="L6" s="91" t="e">
        <f t="shared" si="2"/>
        <v>#DIV/0!</v>
      </c>
      <c r="M6" s="91" t="e">
        <f t="shared" si="2"/>
        <v>#DIV/0!</v>
      </c>
      <c r="N6" s="91" t="e">
        <f t="shared" si="2"/>
        <v>#DIV/0!</v>
      </c>
      <c r="O6" s="91" t="e">
        <f t="shared" si="2"/>
        <v>#DIV/0!</v>
      </c>
      <c r="P6" s="91" t="e">
        <f t="shared" si="2"/>
        <v>#DIV/0!</v>
      </c>
      <c r="Q6" s="91" t="e">
        <f t="shared" si="2"/>
        <v>#DIV/0!</v>
      </c>
      <c r="R6" s="91" t="e">
        <f t="shared" si="2"/>
        <v>#DIV/0!</v>
      </c>
      <c r="S6" s="91" t="e">
        <f t="shared" si="2"/>
        <v>#DIV/0!</v>
      </c>
      <c r="T6" s="91" t="e">
        <f t="shared" si="2"/>
        <v>#DIV/0!</v>
      </c>
      <c r="U6" s="91" t="e">
        <f t="shared" si="2"/>
        <v>#DIV/0!</v>
      </c>
      <c r="V6" s="91" t="e">
        <f t="shared" si="2"/>
        <v>#DIV/0!</v>
      </c>
      <c r="W6" s="91" t="e">
        <f t="shared" si="2"/>
        <v>#DIV/0!</v>
      </c>
      <c r="X6" s="91" t="e">
        <f t="shared" si="2"/>
        <v>#DIV/0!</v>
      </c>
      <c r="Y6" s="91" t="e">
        <f t="shared" si="2"/>
        <v>#DIV/0!</v>
      </c>
      <c r="Z6" s="91" t="e">
        <f t="shared" si="2"/>
        <v>#DIV/0!</v>
      </c>
      <c r="AA6" s="91" t="e">
        <f t="shared" si="2"/>
        <v>#DIV/0!</v>
      </c>
      <c r="AB6" s="91" t="e">
        <f t="shared" si="2"/>
        <v>#DIV/0!</v>
      </c>
      <c r="AC6" s="91" t="e">
        <f t="shared" si="2"/>
        <v>#DIV/0!</v>
      </c>
      <c r="AD6" s="91" t="e">
        <f t="shared" si="2"/>
        <v>#DIV/0!</v>
      </c>
      <c r="AE6" s="92" t="e">
        <f t="shared" si="2"/>
        <v>#DIV/0!</v>
      </c>
      <c r="AF6" s="9"/>
      <c r="AG6" s="162" t="s">
        <v>80</v>
      </c>
      <c r="AH6" s="163"/>
      <c r="AI6" s="101" t="e">
        <f>((G3+T3+X3+Y3+AC3+AD3)/($G$5+$T$5+$X$5+$Y$5+$AC$5+$AD$5))*100</f>
        <v>#DIV/0!</v>
      </c>
      <c r="AJ6" s="102" t="e">
        <f>((G4+T4+X4+Y4+AC4+AD4)/($G$5+$T$5+$X$5+$Y$5+$AC$5+$AD$5))*100</f>
        <v>#DIV/0!</v>
      </c>
      <c r="AK6" s="103" t="e">
        <f>SUM(AI6:AJ6)</f>
        <v>#DIV/0!</v>
      </c>
      <c r="AL6" s="9"/>
      <c r="AM6" s="14" t="s">
        <v>202</v>
      </c>
      <c r="AN6" s="104" t="e">
        <f>(P3/$P$5)*100</f>
        <v>#DIV/0!</v>
      </c>
      <c r="AO6" s="104" t="e">
        <f>(P4/$P$5)*100</f>
        <v>#DIV/0!</v>
      </c>
      <c r="AP6" s="105" t="e">
        <f t="shared" si="0"/>
        <v>#DIV/0!</v>
      </c>
      <c r="AQ6" s="12"/>
    </row>
    <row r="7" spans="1:43" ht="15" customHeight="1" x14ac:dyDescent="0.25">
      <c r="A7" s="15" t="s">
        <v>51</v>
      </c>
      <c r="B7" s="93" t="e">
        <f t="shared" si="2"/>
        <v>#DIV/0!</v>
      </c>
      <c r="C7" s="93" t="e">
        <f t="shared" si="2"/>
        <v>#DIV/0!</v>
      </c>
      <c r="D7" s="93" t="e">
        <f t="shared" si="2"/>
        <v>#DIV/0!</v>
      </c>
      <c r="E7" s="93" t="e">
        <f t="shared" si="2"/>
        <v>#DIV/0!</v>
      </c>
      <c r="F7" s="93" t="e">
        <f t="shared" si="2"/>
        <v>#DIV/0!</v>
      </c>
      <c r="G7" s="93" t="e">
        <f t="shared" si="2"/>
        <v>#DIV/0!</v>
      </c>
      <c r="H7" s="93" t="e">
        <f t="shared" si="2"/>
        <v>#DIV/0!</v>
      </c>
      <c r="I7" s="93" t="e">
        <f t="shared" si="2"/>
        <v>#DIV/0!</v>
      </c>
      <c r="J7" s="93" t="e">
        <f t="shared" si="2"/>
        <v>#DIV/0!</v>
      </c>
      <c r="K7" s="93" t="e">
        <f t="shared" si="2"/>
        <v>#DIV/0!</v>
      </c>
      <c r="L7" s="93" t="e">
        <f t="shared" si="2"/>
        <v>#DIV/0!</v>
      </c>
      <c r="M7" s="93" t="e">
        <f t="shared" si="2"/>
        <v>#DIV/0!</v>
      </c>
      <c r="N7" s="93" t="e">
        <f t="shared" si="2"/>
        <v>#DIV/0!</v>
      </c>
      <c r="O7" s="93" t="e">
        <f t="shared" si="2"/>
        <v>#DIV/0!</v>
      </c>
      <c r="P7" s="93" t="e">
        <f t="shared" si="2"/>
        <v>#DIV/0!</v>
      </c>
      <c r="Q7" s="93" t="e">
        <f t="shared" si="2"/>
        <v>#DIV/0!</v>
      </c>
      <c r="R7" s="93" t="e">
        <f t="shared" si="2"/>
        <v>#DIV/0!</v>
      </c>
      <c r="S7" s="93" t="e">
        <f t="shared" si="2"/>
        <v>#DIV/0!</v>
      </c>
      <c r="T7" s="93" t="e">
        <f t="shared" si="2"/>
        <v>#DIV/0!</v>
      </c>
      <c r="U7" s="93" t="e">
        <f t="shared" si="2"/>
        <v>#DIV/0!</v>
      </c>
      <c r="V7" s="93" t="e">
        <f t="shared" si="2"/>
        <v>#DIV/0!</v>
      </c>
      <c r="W7" s="93" t="e">
        <f t="shared" si="2"/>
        <v>#DIV/0!</v>
      </c>
      <c r="X7" s="93" t="e">
        <f t="shared" si="2"/>
        <v>#DIV/0!</v>
      </c>
      <c r="Y7" s="93" t="e">
        <f t="shared" si="2"/>
        <v>#DIV/0!</v>
      </c>
      <c r="Z7" s="93" t="e">
        <f t="shared" si="2"/>
        <v>#DIV/0!</v>
      </c>
      <c r="AA7" s="93" t="e">
        <f t="shared" si="2"/>
        <v>#DIV/0!</v>
      </c>
      <c r="AB7" s="93" t="e">
        <f t="shared" si="2"/>
        <v>#DIV/0!</v>
      </c>
      <c r="AC7" s="93" t="e">
        <f t="shared" si="2"/>
        <v>#DIV/0!</v>
      </c>
      <c r="AD7" s="93" t="e">
        <f t="shared" si="2"/>
        <v>#DIV/0!</v>
      </c>
      <c r="AE7" s="94" t="e">
        <f t="shared" si="2"/>
        <v>#DIV/0!</v>
      </c>
      <c r="AF7" s="18"/>
      <c r="AG7" s="16"/>
      <c r="AH7" s="16"/>
      <c r="AI7" s="20"/>
      <c r="AJ7" s="20"/>
      <c r="AK7" s="21"/>
      <c r="AL7" s="9"/>
      <c r="AM7" s="14" t="s">
        <v>203</v>
      </c>
      <c r="AN7" s="104" t="e">
        <f>(Y3/$Y$5)*100</f>
        <v>#DIV/0!</v>
      </c>
      <c r="AO7" s="104" t="e">
        <f>(Y4/$Y$5)*100</f>
        <v>#DIV/0!</v>
      </c>
      <c r="AP7" s="105" t="e">
        <f t="shared" si="0"/>
        <v>#DIV/0!</v>
      </c>
      <c r="AQ7" s="12"/>
    </row>
    <row r="8" spans="1:43" ht="15" customHeight="1" thickBot="1" x14ac:dyDescent="0.3">
      <c r="A8" s="22" t="s">
        <v>60</v>
      </c>
      <c r="B8" s="95" t="e">
        <f t="shared" ref="B8:AE8" si="3">SUM(B6:B7)</f>
        <v>#DIV/0!</v>
      </c>
      <c r="C8" s="95" t="e">
        <f t="shared" si="3"/>
        <v>#DIV/0!</v>
      </c>
      <c r="D8" s="95" t="e">
        <f t="shared" si="3"/>
        <v>#DIV/0!</v>
      </c>
      <c r="E8" s="95" t="e">
        <f t="shared" si="3"/>
        <v>#DIV/0!</v>
      </c>
      <c r="F8" s="95" t="e">
        <f t="shared" si="3"/>
        <v>#DIV/0!</v>
      </c>
      <c r="G8" s="95" t="e">
        <f t="shared" si="3"/>
        <v>#DIV/0!</v>
      </c>
      <c r="H8" s="95" t="e">
        <f t="shared" si="3"/>
        <v>#DIV/0!</v>
      </c>
      <c r="I8" s="95" t="e">
        <f t="shared" si="3"/>
        <v>#DIV/0!</v>
      </c>
      <c r="J8" s="95" t="e">
        <f t="shared" si="3"/>
        <v>#DIV/0!</v>
      </c>
      <c r="K8" s="95" t="e">
        <f t="shared" si="3"/>
        <v>#DIV/0!</v>
      </c>
      <c r="L8" s="95" t="e">
        <f t="shared" si="3"/>
        <v>#DIV/0!</v>
      </c>
      <c r="M8" s="95" t="e">
        <f t="shared" si="3"/>
        <v>#DIV/0!</v>
      </c>
      <c r="N8" s="95" t="e">
        <f t="shared" si="3"/>
        <v>#DIV/0!</v>
      </c>
      <c r="O8" s="95" t="e">
        <f t="shared" si="3"/>
        <v>#DIV/0!</v>
      </c>
      <c r="P8" s="95" t="e">
        <f t="shared" si="3"/>
        <v>#DIV/0!</v>
      </c>
      <c r="Q8" s="95" t="e">
        <f t="shared" si="3"/>
        <v>#DIV/0!</v>
      </c>
      <c r="R8" s="95" t="e">
        <f t="shared" si="3"/>
        <v>#DIV/0!</v>
      </c>
      <c r="S8" s="95" t="e">
        <f t="shared" si="3"/>
        <v>#DIV/0!</v>
      </c>
      <c r="T8" s="95" t="e">
        <f t="shared" si="3"/>
        <v>#DIV/0!</v>
      </c>
      <c r="U8" s="95" t="e">
        <f t="shared" si="3"/>
        <v>#DIV/0!</v>
      </c>
      <c r="V8" s="95" t="e">
        <f t="shared" si="3"/>
        <v>#DIV/0!</v>
      </c>
      <c r="W8" s="95" t="e">
        <f t="shared" si="3"/>
        <v>#DIV/0!</v>
      </c>
      <c r="X8" s="95" t="e">
        <f t="shared" si="3"/>
        <v>#DIV/0!</v>
      </c>
      <c r="Y8" s="95" t="e">
        <f t="shared" si="3"/>
        <v>#DIV/0!</v>
      </c>
      <c r="Z8" s="95" t="e">
        <f t="shared" si="3"/>
        <v>#DIV/0!</v>
      </c>
      <c r="AA8" s="95" t="e">
        <f t="shared" si="3"/>
        <v>#DIV/0!</v>
      </c>
      <c r="AB8" s="95" t="e">
        <f t="shared" si="3"/>
        <v>#DIV/0!</v>
      </c>
      <c r="AC8" s="95" t="e">
        <f t="shared" si="3"/>
        <v>#DIV/0!</v>
      </c>
      <c r="AD8" s="95" t="e">
        <f t="shared" si="3"/>
        <v>#DIV/0!</v>
      </c>
      <c r="AE8" s="96" t="e">
        <f t="shared" si="3"/>
        <v>#DIV/0!</v>
      </c>
      <c r="AF8" s="12"/>
      <c r="AL8" s="25"/>
      <c r="AM8" s="14" t="s">
        <v>204</v>
      </c>
      <c r="AN8" s="104" t="e">
        <f>(C3/$C$5)*100</f>
        <v>#DIV/0!</v>
      </c>
      <c r="AO8" s="104" t="e">
        <f>(C4/$C$5)*100</f>
        <v>#DIV/0!</v>
      </c>
      <c r="AP8" s="105" t="e">
        <f t="shared" si="0"/>
        <v>#DIV/0!</v>
      </c>
      <c r="AQ8" s="12"/>
    </row>
    <row r="9" spans="1:43" x14ac:dyDescent="0.25">
      <c r="A9" s="16"/>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12"/>
      <c r="AL9" s="25"/>
      <c r="AM9" s="14" t="s">
        <v>205</v>
      </c>
      <c r="AN9" s="104" t="e">
        <f>(Z3/$Z$5)*100</f>
        <v>#DIV/0!</v>
      </c>
      <c r="AO9" s="104" t="e">
        <f>(Z4/$Z$5)*100</f>
        <v>#DIV/0!</v>
      </c>
      <c r="AP9" s="105" t="e">
        <f t="shared" si="0"/>
        <v>#DIV/0!</v>
      </c>
      <c r="AQ9" s="12"/>
    </row>
    <row r="10" spans="1:43" x14ac:dyDescent="0.25">
      <c r="AF10" s="12"/>
      <c r="AL10" s="25"/>
      <c r="AM10" s="14" t="s">
        <v>206</v>
      </c>
      <c r="AN10" s="104" t="e">
        <f>(S3/$S$5)*100</f>
        <v>#DIV/0!</v>
      </c>
      <c r="AO10" s="104" t="e">
        <f>(S4/$S$5)*100</f>
        <v>#DIV/0!</v>
      </c>
      <c r="AP10" s="105" t="e">
        <f t="shared" si="0"/>
        <v>#DIV/0!</v>
      </c>
      <c r="AQ10" s="12"/>
    </row>
    <row r="11" spans="1:43" x14ac:dyDescent="0.25">
      <c r="AL11" s="25"/>
      <c r="AM11" s="14" t="s">
        <v>207</v>
      </c>
      <c r="AN11" s="104" t="e">
        <f>(U3/$U$5)*100</f>
        <v>#DIV/0!</v>
      </c>
      <c r="AO11" s="104" t="e">
        <f>(U4/$U$5)*100</f>
        <v>#DIV/0!</v>
      </c>
      <c r="AP11" s="105" t="e">
        <f t="shared" si="0"/>
        <v>#DIV/0!</v>
      </c>
      <c r="AQ11" s="12"/>
    </row>
    <row r="12" spans="1:43" x14ac:dyDescent="0.25">
      <c r="AL12" s="25"/>
      <c r="AM12" s="14" t="s">
        <v>208</v>
      </c>
      <c r="AN12" s="104" t="e">
        <f>(L3/$L$5)*100</f>
        <v>#DIV/0!</v>
      </c>
      <c r="AO12" s="104" t="e">
        <f>(L4/$L$5)*100</f>
        <v>#DIV/0!</v>
      </c>
      <c r="AP12" s="105" t="e">
        <f t="shared" si="0"/>
        <v>#DIV/0!</v>
      </c>
      <c r="AQ12" s="12"/>
    </row>
    <row r="13" spans="1:43" x14ac:dyDescent="0.25">
      <c r="AL13" s="25"/>
      <c r="AM13" s="14" t="s">
        <v>209</v>
      </c>
      <c r="AN13" s="104" t="e">
        <f>(B3/$B$5)*100</f>
        <v>#DIV/0!</v>
      </c>
      <c r="AO13" s="104" t="e">
        <f>(B4/$B$5)*100</f>
        <v>#DIV/0!</v>
      </c>
      <c r="AP13" s="105" t="e">
        <f t="shared" si="0"/>
        <v>#DIV/0!</v>
      </c>
      <c r="AQ13" s="12"/>
    </row>
    <row r="14" spans="1:43" x14ac:dyDescent="0.25">
      <c r="AL14" s="25"/>
      <c r="AM14" s="14" t="s">
        <v>210</v>
      </c>
      <c r="AN14" s="104" t="e">
        <f>(H3/$H$5)*100</f>
        <v>#DIV/0!</v>
      </c>
      <c r="AO14" s="104" t="e">
        <f>(H4/$H$5)*100</f>
        <v>#DIV/0!</v>
      </c>
      <c r="AP14" s="105" t="e">
        <f t="shared" si="0"/>
        <v>#DIV/0!</v>
      </c>
      <c r="AQ14" s="12"/>
    </row>
    <row r="15" spans="1:43" x14ac:dyDescent="0.25">
      <c r="AL15" s="25"/>
      <c r="AM15" s="14" t="s">
        <v>211</v>
      </c>
      <c r="AN15" s="104" t="e">
        <f>(O3/$O$5)*100</f>
        <v>#DIV/0!</v>
      </c>
      <c r="AO15" s="104" t="e">
        <f>(O4/$O$5)*100</f>
        <v>#DIV/0!</v>
      </c>
      <c r="AP15" s="105" t="e">
        <f t="shared" si="0"/>
        <v>#DIV/0!</v>
      </c>
      <c r="AQ15" s="12"/>
    </row>
    <row r="16" spans="1:43" x14ac:dyDescent="0.25">
      <c r="AL16" s="25"/>
      <c r="AM16" s="14" t="s">
        <v>212</v>
      </c>
      <c r="AN16" s="104" t="e">
        <f>(V3/$V$5)*100</f>
        <v>#DIV/0!</v>
      </c>
      <c r="AO16" s="104" t="e">
        <f>(V4/$V$5)*100</f>
        <v>#DIV/0!</v>
      </c>
      <c r="AP16" s="105" t="e">
        <f t="shared" si="0"/>
        <v>#DIV/0!</v>
      </c>
      <c r="AQ16" s="12"/>
    </row>
    <row r="17" spans="38:43" x14ac:dyDescent="0.25">
      <c r="AL17" s="25"/>
      <c r="AM17" s="14" t="s">
        <v>213</v>
      </c>
      <c r="AN17" s="104" t="e">
        <f>(Q3/$Q$5)*100</f>
        <v>#DIV/0!</v>
      </c>
      <c r="AO17" s="104" t="e">
        <f>(Q4/$Q$5)*100</f>
        <v>#DIV/0!</v>
      </c>
      <c r="AP17" s="105" t="e">
        <f t="shared" si="0"/>
        <v>#DIV/0!</v>
      </c>
      <c r="AQ17" s="12"/>
    </row>
    <row r="18" spans="38:43" x14ac:dyDescent="0.25">
      <c r="AL18" s="25"/>
      <c r="AM18" s="14" t="s">
        <v>214</v>
      </c>
      <c r="AN18" s="104" t="e">
        <f>(K3/$K$5)*100</f>
        <v>#DIV/0!</v>
      </c>
      <c r="AO18" s="104" t="e">
        <f>(K4/$K$5)*100</f>
        <v>#DIV/0!</v>
      </c>
      <c r="AP18" s="105" t="e">
        <f t="shared" si="0"/>
        <v>#DIV/0!</v>
      </c>
      <c r="AQ18" s="12"/>
    </row>
    <row r="19" spans="38:43" x14ac:dyDescent="0.25">
      <c r="AL19" s="25"/>
      <c r="AM19" s="14" t="s">
        <v>215</v>
      </c>
      <c r="AN19" s="104" t="e">
        <f>((AA3+AB3)/($AA$5+$AB$5))*100</f>
        <v>#DIV/0!</v>
      </c>
      <c r="AO19" s="104" t="e">
        <f>((AA4+AB4)/($AA$5+$AB$5))*100</f>
        <v>#DIV/0!</v>
      </c>
      <c r="AP19" s="105" t="e">
        <f t="shared" si="0"/>
        <v>#DIV/0!</v>
      </c>
      <c r="AQ19" s="12"/>
    </row>
    <row r="20" spans="38:43" x14ac:dyDescent="0.25">
      <c r="AL20" s="25"/>
      <c r="AM20" s="14" t="s">
        <v>216</v>
      </c>
      <c r="AN20" s="104" t="e">
        <f>(AD3/$AD$5)*100</f>
        <v>#DIV/0!</v>
      </c>
      <c r="AO20" s="104" t="e">
        <f>(AD4/$AD$5)*100</f>
        <v>#DIV/0!</v>
      </c>
      <c r="AP20" s="105" t="e">
        <f t="shared" si="0"/>
        <v>#DIV/0!</v>
      </c>
      <c r="AQ20" s="12"/>
    </row>
    <row r="21" spans="38:43" x14ac:dyDescent="0.25">
      <c r="AL21" s="25"/>
      <c r="AM21" s="14" t="s">
        <v>217</v>
      </c>
      <c r="AN21" s="104" t="e">
        <f>(X3/$X$5)*100</f>
        <v>#DIV/0!</v>
      </c>
      <c r="AO21" s="104" t="e">
        <f>(X4/$X$5)*100</f>
        <v>#DIV/0!</v>
      </c>
      <c r="AP21" s="105" t="e">
        <f t="shared" si="0"/>
        <v>#DIV/0!</v>
      </c>
      <c r="AQ21" s="12"/>
    </row>
    <row r="22" spans="38:43" ht="15" customHeight="1" x14ac:dyDescent="0.25">
      <c r="AL22" s="25"/>
      <c r="AM22" s="14" t="s">
        <v>218</v>
      </c>
      <c r="AN22" s="104" t="e">
        <f>(T3/$T$5)*100</f>
        <v>#DIV/0!</v>
      </c>
      <c r="AO22" s="104" t="e">
        <f>(T4/$T$5)*100</f>
        <v>#DIV/0!</v>
      </c>
      <c r="AP22" s="105" t="e">
        <f t="shared" si="0"/>
        <v>#DIV/0!</v>
      </c>
      <c r="AQ22" s="12"/>
    </row>
    <row r="23" spans="38:43" ht="15" customHeight="1" x14ac:dyDescent="0.25">
      <c r="AL23" s="25"/>
      <c r="AM23" s="14" t="s">
        <v>219</v>
      </c>
      <c r="AN23" s="104" t="e">
        <f>(N3/$N$5)*100</f>
        <v>#DIV/0!</v>
      </c>
      <c r="AO23" s="104" t="e">
        <f>(N4/$N$5)*100</f>
        <v>#DIV/0!</v>
      </c>
      <c r="AP23" s="105" t="e">
        <f t="shared" si="0"/>
        <v>#DIV/0!</v>
      </c>
      <c r="AQ23" s="12"/>
    </row>
    <row r="24" spans="38:43" ht="15" customHeight="1" x14ac:dyDescent="0.25">
      <c r="AL24" s="25"/>
      <c r="AM24" s="14" t="s">
        <v>220</v>
      </c>
      <c r="AN24" s="104" t="e">
        <f>(R3/$R$5)*100</f>
        <v>#DIV/0!</v>
      </c>
      <c r="AO24" s="104" t="e">
        <f>(R4/$R$5)*100</f>
        <v>#DIV/0!</v>
      </c>
      <c r="AP24" s="105" t="e">
        <f t="shared" si="0"/>
        <v>#DIV/0!</v>
      </c>
      <c r="AQ24" s="12"/>
    </row>
    <row r="25" spans="38:43" ht="15.75" customHeight="1" x14ac:dyDescent="0.25">
      <c r="AL25" s="25"/>
      <c r="AM25" s="14" t="s">
        <v>221</v>
      </c>
      <c r="AN25" s="104" t="e">
        <f>((D3+E3)/($D$5+$E$5))*100</f>
        <v>#DIV/0!</v>
      </c>
      <c r="AO25" s="104" t="e">
        <f>((D4+E4)/($D$5+$E$5))*100</f>
        <v>#DIV/0!</v>
      </c>
      <c r="AP25" s="105" t="e">
        <f t="shared" si="0"/>
        <v>#DIV/0!</v>
      </c>
      <c r="AQ25" s="12"/>
    </row>
    <row r="26" spans="38:43" ht="15" customHeight="1" x14ac:dyDescent="0.25">
      <c r="AL26" s="25"/>
      <c r="AM26" s="14" t="s">
        <v>222</v>
      </c>
      <c r="AN26" s="104" t="e">
        <f>(G3/$G$5)*100</f>
        <v>#DIV/0!</v>
      </c>
      <c r="AO26" s="104" t="e">
        <f>(G4/$G$5)*100</f>
        <v>#DIV/0!</v>
      </c>
      <c r="AP26" s="105" t="e">
        <f t="shared" si="0"/>
        <v>#DIV/0!</v>
      </c>
      <c r="AQ26" s="12"/>
    </row>
    <row r="27" spans="38:43" ht="15" customHeight="1" x14ac:dyDescent="0.25">
      <c r="AL27" s="25"/>
      <c r="AM27" s="14" t="s">
        <v>223</v>
      </c>
      <c r="AN27" s="104" t="e">
        <f>(W3/$W$5)*100</f>
        <v>#DIV/0!</v>
      </c>
      <c r="AO27" s="104" t="e">
        <f>(W4/$W$5)*100</f>
        <v>#DIV/0!</v>
      </c>
      <c r="AP27" s="105" t="e">
        <f t="shared" si="0"/>
        <v>#DIV/0!</v>
      </c>
      <c r="AQ27" s="12"/>
    </row>
    <row r="28" spans="38:43" ht="15.75" customHeight="1" thickBot="1" x14ac:dyDescent="0.3">
      <c r="AL28" s="25"/>
      <c r="AM28" s="27" t="s">
        <v>224</v>
      </c>
      <c r="AN28" s="106" t="e">
        <f>(AC3/$AC$5)*100</f>
        <v>#DIV/0!</v>
      </c>
      <c r="AO28" s="106" t="e">
        <f>(AC4/$AC$5)*100</f>
        <v>#DIV/0!</v>
      </c>
      <c r="AP28" s="107" t="e">
        <f t="shared" si="0"/>
        <v>#DIV/0!</v>
      </c>
      <c r="AQ28" s="12"/>
    </row>
    <row r="29" spans="38:43" x14ac:dyDescent="0.25">
      <c r="AL29" s="25"/>
      <c r="AM29" s="16"/>
      <c r="AN29" s="20"/>
      <c r="AO29" s="20"/>
      <c r="AP29" s="16"/>
    </row>
  </sheetData>
  <sheetProtection algorithmName="SHA-512" hashValue="63x5EkNLw984caYmGHhM3p2OoWdrQbbIeow0SDbjqAP2T0deuAI21upPvd/xqKK4iXf1sGSJ1OcMVk/JI6Rbjw==" saltValue="y1U0i7s2ygTV2I11jeK44w==" spinCount="100000" sheet="1" objects="1" scenarios="1"/>
  <mergeCells count="8">
    <mergeCell ref="AG5:AH5"/>
    <mergeCell ref="AG6:AH6"/>
    <mergeCell ref="A1:A2"/>
    <mergeCell ref="B1:AE1"/>
    <mergeCell ref="AG1:AH1"/>
    <mergeCell ref="AG2:AH2"/>
    <mergeCell ref="AG3:AH3"/>
    <mergeCell ref="AG4:AH4"/>
  </mergeCells>
  <conditionalFormatting sqref="B6:AE6 AI2">
    <cfRule type="cellIs" dxfId="6" priority="7" operator="lessThan">
      <formula>50</formula>
    </cfRule>
  </conditionalFormatting>
  <conditionalFormatting sqref="AP2:AP28">
    <cfRule type="cellIs" dxfId="5" priority="3" operator="lessThan">
      <formula>50</formula>
    </cfRule>
    <cfRule type="cellIs" dxfId="4" priority="5" operator="lessThan">
      <formula>50</formula>
    </cfRule>
    <cfRule type="cellIs" dxfId="3" priority="6" operator="lessThan">
      <formula>"IIIIIIIIIIIIIIIIIIIIIIIIIIIIIIIIIIIIIIIIIIIIIIIIII"</formula>
    </cfRule>
  </conditionalFormatting>
  <conditionalFormatting sqref="B6:AE6">
    <cfRule type="cellIs" dxfId="2" priority="4" operator="lessThan">
      <formula>50</formula>
    </cfRule>
  </conditionalFormatting>
  <conditionalFormatting sqref="AI2:AI6">
    <cfRule type="cellIs" dxfId="1" priority="2" operator="lessThan">
      <formula>50</formula>
    </cfRule>
  </conditionalFormatting>
  <conditionalFormatting sqref="AN2:AN28">
    <cfRule type="cellIs" dxfId="0" priority="1" operator="lessThan">
      <formula>50</formula>
    </cfRule>
  </conditionalFormatting>
  <hyperlinks>
    <hyperlink ref="B6" location="'Especificaciones Matemáticas'!A3" display="'Especificaciones Matemáticas'!A3"/>
    <hyperlink ref="C6" location="'Especificaciones Matemáticas'!A4" display="'Especificaciones Matemáticas'!A4"/>
    <hyperlink ref="D6" location="'Especificaciones Matemáticas'!A5" display="'Especificaciones Matemáticas'!A5"/>
    <hyperlink ref="E6" location="'Especificaciones Matemáticas'!A6" display="'Especificaciones Matemáticas'!A6"/>
    <hyperlink ref="F6" location="'Especificaciones Matemáticas'!A7" display="'Especificaciones Matemáticas'!A7"/>
    <hyperlink ref="G6" location="'Especificaciones Matemáticas'!A8" display="'Especificaciones Matemáticas'!A8"/>
    <hyperlink ref="H6" location="'Especificaciones Matemáticas'!A9" display="'Especificaciones Matemáticas'!A9"/>
    <hyperlink ref="I6" location="'Especificaciones Matemáticas'!A10" display="'Especificaciones Matemáticas'!A10"/>
    <hyperlink ref="J6" location="'Especificaciones Matemáticas'!A11" display="'Especificaciones Matemáticas'!A11"/>
    <hyperlink ref="K6" location="'Especificaciones Matemáticas'!A12" display="'Especificaciones Matemáticas'!A12"/>
    <hyperlink ref="L6" location="'Especificaciones Matemáticas'!A13" display="'Especificaciones Matemáticas'!A13"/>
    <hyperlink ref="M6" location="'Especificaciones Matemáticas'!A14" display="'Especificaciones Matemáticas'!A14"/>
    <hyperlink ref="N6" location="'Especificaciones Matemáticas'!A15" display="'Especificaciones Matemáticas'!A15"/>
    <hyperlink ref="O6" location="'Especificaciones Matemáticas'!A16" display="'Especificaciones Matemáticas'!A16"/>
    <hyperlink ref="P6" location="'Especificaciones Matemáticas'!A17" display="'Especificaciones Matemáticas'!A17"/>
    <hyperlink ref="Q6" location="'Especificaciones Matemáticas'!A18" display="'Especificaciones Matemáticas'!A18"/>
    <hyperlink ref="R6" location="'Especificaciones Matemáticas'!A19" display="'Especificaciones Matemáticas'!A19"/>
    <hyperlink ref="S6" location="'Especificaciones Matemáticas'!A20" display="'Especificaciones Matemáticas'!A20"/>
    <hyperlink ref="T6" location="'Especificaciones Matemáticas'!A21" display="'Especificaciones Matemáticas'!A21"/>
    <hyperlink ref="U6" location="'Especificaciones Matemáticas'!A22" display="'Especificaciones Matemáticas'!A22"/>
    <hyperlink ref="V6" location="'Especificaciones Matemáticas'!A23" display="'Especificaciones Matemáticas'!A23"/>
    <hyperlink ref="W6" location="'Especificaciones Matemáticas'!A24" display="'Especificaciones Matemáticas'!A24"/>
    <hyperlink ref="X6" location="'Especificaciones Matemáticas'!A25" display="'Especificaciones Matemáticas'!A25"/>
    <hyperlink ref="Y6" location="'Especificaciones Matemáticas'!A26" display="'Especificaciones Matemáticas'!A26"/>
    <hyperlink ref="Z6" location="'Especificaciones Matemáticas'!A27" display="'Especificaciones Matemáticas'!A27"/>
    <hyperlink ref="AA6" location="'Especificaciones Matemáticas'!A28" display="'Especificaciones Matemáticas'!A28"/>
    <hyperlink ref="AB6" location="'Especificaciones Matemáticas'!A29" display="'Especificaciones Matemáticas'!A29"/>
    <hyperlink ref="AC6" location="'Especificaciones Matemáticas'!A30" display="'Especificaciones Matemáticas'!A30"/>
    <hyperlink ref="AD6" location="'Especificaciones Matemáticas'!A31" display="'Especificaciones Matemáticas'!A31"/>
    <hyperlink ref="AE6" location="'Especificaciones Matemáticas'!A32" display="'Especificaciones Matemáticas'!A32"/>
  </hyperlinks>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5" tint="-0.249977111117893"/>
  </sheetPr>
  <dimension ref="A1:I33"/>
  <sheetViews>
    <sheetView showGridLines="0" zoomScale="80" zoomScaleNormal="80" workbookViewId="0">
      <pane ySplit="2" topLeftCell="A3" activePane="bottomLeft" state="frozen"/>
      <selection pane="bottomLeft" sqref="A1:I1"/>
    </sheetView>
  </sheetViews>
  <sheetFormatPr baseColWidth="10" defaultRowHeight="15" x14ac:dyDescent="0.25"/>
  <cols>
    <col min="1" max="1" width="10.7109375" style="32" customWidth="1"/>
    <col min="2" max="2" width="15.7109375" style="32" customWidth="1"/>
    <col min="3" max="3" width="8.140625" style="32" bestFit="1" customWidth="1"/>
    <col min="4" max="4" width="25.7109375" style="28" customWidth="1"/>
    <col min="5" max="5" width="50.7109375" style="33" customWidth="1"/>
    <col min="6" max="7" width="40.7109375" style="33" customWidth="1"/>
    <col min="8" max="8" width="45.7109375" style="33" customWidth="1"/>
    <col min="9" max="9" width="35.7109375" style="28" customWidth="1"/>
    <col min="10" max="16384" width="11.42578125" style="28"/>
  </cols>
  <sheetData>
    <row r="1" spans="1:9" ht="35.1" customHeight="1" thickBot="1" x14ac:dyDescent="0.3">
      <c r="A1" s="160" t="s">
        <v>47</v>
      </c>
      <c r="B1" s="160"/>
      <c r="C1" s="160"/>
      <c r="D1" s="160"/>
      <c r="E1" s="160"/>
      <c r="F1" s="160"/>
      <c r="G1" s="160"/>
      <c r="H1" s="160"/>
      <c r="I1" s="160"/>
    </row>
    <row r="2" spans="1:9" s="29" customFormat="1" ht="45" x14ac:dyDescent="0.25">
      <c r="A2" s="58" t="s">
        <v>61</v>
      </c>
      <c r="B2" s="59" t="s">
        <v>62</v>
      </c>
      <c r="C2" s="60" t="s">
        <v>63</v>
      </c>
      <c r="D2" s="60" t="s">
        <v>81</v>
      </c>
      <c r="E2" s="72" t="s">
        <v>225</v>
      </c>
      <c r="F2" s="72" t="s">
        <v>66</v>
      </c>
      <c r="G2" s="72" t="s">
        <v>67</v>
      </c>
      <c r="H2" s="72" t="s">
        <v>68</v>
      </c>
      <c r="I2" s="73" t="s">
        <v>82</v>
      </c>
    </row>
    <row r="3" spans="1:9" ht="69.95" customHeight="1" x14ac:dyDescent="0.25">
      <c r="A3" s="34">
        <v>1</v>
      </c>
      <c r="B3" s="74" t="s">
        <v>69</v>
      </c>
      <c r="C3" s="63" t="s">
        <v>40</v>
      </c>
      <c r="D3" s="63" t="s">
        <v>83</v>
      </c>
      <c r="E3" s="75" t="s">
        <v>226</v>
      </c>
      <c r="F3" s="75" t="s">
        <v>78</v>
      </c>
      <c r="G3" s="75" t="s">
        <v>209</v>
      </c>
      <c r="H3" s="75" t="s">
        <v>227</v>
      </c>
      <c r="I3" s="65" t="s">
        <v>228</v>
      </c>
    </row>
    <row r="4" spans="1:9" ht="69.95" customHeight="1" x14ac:dyDescent="0.25">
      <c r="A4" s="34">
        <v>2</v>
      </c>
      <c r="B4" s="74" t="s">
        <v>69</v>
      </c>
      <c r="C4" s="63" t="s">
        <v>40</v>
      </c>
      <c r="D4" s="63" t="s">
        <v>83</v>
      </c>
      <c r="E4" s="75" t="s">
        <v>229</v>
      </c>
      <c r="F4" s="75" t="s">
        <v>78</v>
      </c>
      <c r="G4" s="75" t="s">
        <v>204</v>
      </c>
      <c r="H4" s="75" t="s">
        <v>230</v>
      </c>
      <c r="I4" s="65" t="s">
        <v>231</v>
      </c>
    </row>
    <row r="5" spans="1:9" ht="69.95" customHeight="1" x14ac:dyDescent="0.25">
      <c r="A5" s="34">
        <v>3</v>
      </c>
      <c r="B5" s="74" t="s">
        <v>69</v>
      </c>
      <c r="C5" s="63" t="s">
        <v>40</v>
      </c>
      <c r="D5" s="63" t="s">
        <v>83</v>
      </c>
      <c r="E5" s="75" t="s">
        <v>232</v>
      </c>
      <c r="F5" s="75" t="s">
        <v>79</v>
      </c>
      <c r="G5" s="75" t="s">
        <v>221</v>
      </c>
      <c r="H5" s="75" t="s">
        <v>233</v>
      </c>
      <c r="I5" s="65" t="s">
        <v>234</v>
      </c>
    </row>
    <row r="6" spans="1:9" ht="69.95" customHeight="1" x14ac:dyDescent="0.25">
      <c r="A6" s="34">
        <v>4</v>
      </c>
      <c r="B6" s="74" t="s">
        <v>69</v>
      </c>
      <c r="C6" s="63" t="s">
        <v>40</v>
      </c>
      <c r="D6" s="63" t="s">
        <v>83</v>
      </c>
      <c r="E6" s="75" t="s">
        <v>232</v>
      </c>
      <c r="F6" s="75" t="s">
        <v>79</v>
      </c>
      <c r="G6" s="75" t="s">
        <v>221</v>
      </c>
      <c r="H6" s="75" t="s">
        <v>235</v>
      </c>
      <c r="I6" s="65" t="s">
        <v>234</v>
      </c>
    </row>
    <row r="7" spans="1:9" ht="69.95" customHeight="1" x14ac:dyDescent="0.25">
      <c r="A7" s="34">
        <v>5</v>
      </c>
      <c r="B7" s="74" t="s">
        <v>69</v>
      </c>
      <c r="C7" s="63" t="s">
        <v>40</v>
      </c>
      <c r="D7" s="63" t="s">
        <v>83</v>
      </c>
      <c r="E7" s="75" t="s">
        <v>236</v>
      </c>
      <c r="F7" s="75" t="s">
        <v>79</v>
      </c>
      <c r="G7" s="75" t="s">
        <v>200</v>
      </c>
      <c r="H7" s="75" t="s">
        <v>237</v>
      </c>
      <c r="I7" s="65" t="s">
        <v>238</v>
      </c>
    </row>
    <row r="8" spans="1:9" ht="69.95" customHeight="1" x14ac:dyDescent="0.25">
      <c r="A8" s="34">
        <v>6</v>
      </c>
      <c r="B8" s="74" t="s">
        <v>69</v>
      </c>
      <c r="C8" s="63" t="s">
        <v>40</v>
      </c>
      <c r="D8" s="63" t="s">
        <v>83</v>
      </c>
      <c r="E8" s="75" t="s">
        <v>239</v>
      </c>
      <c r="F8" s="75" t="s">
        <v>80</v>
      </c>
      <c r="G8" s="75" t="s">
        <v>222</v>
      </c>
      <c r="H8" s="75" t="s">
        <v>240</v>
      </c>
      <c r="I8" s="65" t="s">
        <v>241</v>
      </c>
    </row>
    <row r="9" spans="1:9" ht="69.95" customHeight="1" x14ac:dyDescent="0.25">
      <c r="A9" s="34">
        <v>7</v>
      </c>
      <c r="B9" s="74" t="s">
        <v>69</v>
      </c>
      <c r="C9" s="63" t="s">
        <v>40</v>
      </c>
      <c r="D9" s="63" t="s">
        <v>242</v>
      </c>
      <c r="E9" s="75" t="s">
        <v>243</v>
      </c>
      <c r="F9" s="75" t="s">
        <v>76</v>
      </c>
      <c r="G9" s="75" t="s">
        <v>210</v>
      </c>
      <c r="H9" s="75" t="s">
        <v>244</v>
      </c>
      <c r="I9" s="65" t="s">
        <v>245</v>
      </c>
    </row>
    <row r="10" spans="1:9" ht="69.95" customHeight="1" x14ac:dyDescent="0.25">
      <c r="A10" s="34">
        <v>8</v>
      </c>
      <c r="B10" s="74" t="s">
        <v>69</v>
      </c>
      <c r="C10" s="63" t="s">
        <v>40</v>
      </c>
      <c r="D10" s="63" t="s">
        <v>242</v>
      </c>
      <c r="E10" s="75" t="s">
        <v>246</v>
      </c>
      <c r="F10" s="75" t="s">
        <v>77</v>
      </c>
      <c r="G10" s="75" t="s">
        <v>199</v>
      </c>
      <c r="H10" s="75" t="s">
        <v>247</v>
      </c>
      <c r="I10" s="65" t="s">
        <v>248</v>
      </c>
    </row>
    <row r="11" spans="1:9" ht="69.95" customHeight="1" x14ac:dyDescent="0.25">
      <c r="A11" s="34">
        <v>9</v>
      </c>
      <c r="B11" s="74" t="s">
        <v>69</v>
      </c>
      <c r="C11" s="63" t="s">
        <v>40</v>
      </c>
      <c r="D11" s="63" t="s">
        <v>242</v>
      </c>
      <c r="E11" s="75" t="s">
        <v>246</v>
      </c>
      <c r="F11" s="75" t="s">
        <v>77</v>
      </c>
      <c r="G11" s="75" t="s">
        <v>199</v>
      </c>
      <c r="H11" s="75" t="s">
        <v>249</v>
      </c>
      <c r="I11" s="65" t="s">
        <v>248</v>
      </c>
    </row>
    <row r="12" spans="1:9" ht="69.95" customHeight="1" x14ac:dyDescent="0.25">
      <c r="A12" s="34">
        <v>10</v>
      </c>
      <c r="B12" s="74" t="s">
        <v>69</v>
      </c>
      <c r="C12" s="63" t="s">
        <v>73</v>
      </c>
      <c r="D12" s="63" t="s">
        <v>83</v>
      </c>
      <c r="E12" s="75" t="s">
        <v>250</v>
      </c>
      <c r="F12" s="75" t="s">
        <v>78</v>
      </c>
      <c r="G12" s="75" t="s">
        <v>214</v>
      </c>
      <c r="H12" s="75" t="s">
        <v>251</v>
      </c>
      <c r="I12" s="65" t="s">
        <v>252</v>
      </c>
    </row>
    <row r="13" spans="1:9" ht="69.95" customHeight="1" x14ac:dyDescent="0.25">
      <c r="A13" s="34">
        <v>11</v>
      </c>
      <c r="B13" s="74" t="s">
        <v>69</v>
      </c>
      <c r="C13" s="63" t="s">
        <v>73</v>
      </c>
      <c r="D13" s="63" t="s">
        <v>83</v>
      </c>
      <c r="E13" s="75" t="s">
        <v>253</v>
      </c>
      <c r="F13" s="75" t="s">
        <v>78</v>
      </c>
      <c r="G13" s="75" t="s">
        <v>208</v>
      </c>
      <c r="H13" s="75" t="s">
        <v>254</v>
      </c>
      <c r="I13" s="65" t="s">
        <v>255</v>
      </c>
    </row>
    <row r="14" spans="1:9" ht="69.95" customHeight="1" x14ac:dyDescent="0.25">
      <c r="A14" s="34">
        <v>12</v>
      </c>
      <c r="B14" s="74" t="s">
        <v>69</v>
      </c>
      <c r="C14" s="63" t="s">
        <v>73</v>
      </c>
      <c r="D14" s="63" t="s">
        <v>83</v>
      </c>
      <c r="E14" s="75" t="s">
        <v>256</v>
      </c>
      <c r="F14" s="75" t="s">
        <v>79</v>
      </c>
      <c r="G14" s="75" t="s">
        <v>201</v>
      </c>
      <c r="H14" s="75" t="s">
        <v>257</v>
      </c>
      <c r="I14" s="65" t="s">
        <v>258</v>
      </c>
    </row>
    <row r="15" spans="1:9" ht="69.95" customHeight="1" x14ac:dyDescent="0.25">
      <c r="A15" s="34">
        <v>13</v>
      </c>
      <c r="B15" s="74" t="s">
        <v>69</v>
      </c>
      <c r="C15" s="63" t="s">
        <v>73</v>
      </c>
      <c r="D15" s="63" t="s">
        <v>242</v>
      </c>
      <c r="E15" s="75" t="s">
        <v>259</v>
      </c>
      <c r="F15" s="75" t="s">
        <v>79</v>
      </c>
      <c r="G15" s="75" t="s">
        <v>219</v>
      </c>
      <c r="H15" s="75" t="s">
        <v>260</v>
      </c>
      <c r="I15" s="65" t="s">
        <v>261</v>
      </c>
    </row>
    <row r="16" spans="1:9" ht="69.95" customHeight="1" x14ac:dyDescent="0.25">
      <c r="A16" s="34">
        <v>14</v>
      </c>
      <c r="B16" s="74" t="s">
        <v>69</v>
      </c>
      <c r="C16" s="63" t="s">
        <v>73</v>
      </c>
      <c r="D16" s="63" t="s">
        <v>83</v>
      </c>
      <c r="E16" s="75" t="s">
        <v>262</v>
      </c>
      <c r="F16" s="75" t="s">
        <v>76</v>
      </c>
      <c r="G16" s="75" t="s">
        <v>211</v>
      </c>
      <c r="H16" s="75" t="s">
        <v>263</v>
      </c>
      <c r="I16" s="65" t="s">
        <v>264</v>
      </c>
    </row>
    <row r="17" spans="1:9" ht="69.95" customHeight="1" x14ac:dyDescent="0.25">
      <c r="A17" s="34">
        <v>15</v>
      </c>
      <c r="B17" s="74" t="s">
        <v>69</v>
      </c>
      <c r="C17" s="63" t="s">
        <v>74</v>
      </c>
      <c r="D17" s="63" t="s">
        <v>83</v>
      </c>
      <c r="E17" s="75" t="s">
        <v>265</v>
      </c>
      <c r="F17" s="75" t="s">
        <v>78</v>
      </c>
      <c r="G17" s="75" t="s">
        <v>202</v>
      </c>
      <c r="H17" s="75" t="s">
        <v>266</v>
      </c>
      <c r="I17" s="65" t="s">
        <v>267</v>
      </c>
    </row>
    <row r="18" spans="1:9" ht="69.95" customHeight="1" x14ac:dyDescent="0.25">
      <c r="A18" s="34">
        <v>16</v>
      </c>
      <c r="B18" s="74" t="s">
        <v>69</v>
      </c>
      <c r="C18" s="63" t="s">
        <v>74</v>
      </c>
      <c r="D18" s="63" t="s">
        <v>83</v>
      </c>
      <c r="E18" s="75" t="s">
        <v>268</v>
      </c>
      <c r="F18" s="75" t="s">
        <v>78</v>
      </c>
      <c r="G18" s="75" t="s">
        <v>213</v>
      </c>
      <c r="H18" s="75" t="s">
        <v>269</v>
      </c>
      <c r="I18" s="65" t="s">
        <v>270</v>
      </c>
    </row>
    <row r="19" spans="1:9" ht="69.95" customHeight="1" x14ac:dyDescent="0.25">
      <c r="A19" s="34">
        <v>17</v>
      </c>
      <c r="B19" s="74" t="s">
        <v>69</v>
      </c>
      <c r="C19" s="63" t="s">
        <v>74</v>
      </c>
      <c r="D19" s="63" t="s">
        <v>83</v>
      </c>
      <c r="E19" s="75" t="s">
        <v>271</v>
      </c>
      <c r="F19" s="75" t="s">
        <v>79</v>
      </c>
      <c r="G19" s="75" t="s">
        <v>220</v>
      </c>
      <c r="H19" s="75" t="s">
        <v>272</v>
      </c>
      <c r="I19" s="65" t="s">
        <v>273</v>
      </c>
    </row>
    <row r="20" spans="1:9" ht="69.95" customHeight="1" x14ac:dyDescent="0.25">
      <c r="A20" s="34">
        <v>18</v>
      </c>
      <c r="B20" s="74" t="s">
        <v>69</v>
      </c>
      <c r="C20" s="63" t="s">
        <v>74</v>
      </c>
      <c r="D20" s="63" t="s">
        <v>83</v>
      </c>
      <c r="E20" s="75" t="s">
        <v>274</v>
      </c>
      <c r="F20" s="75" t="s">
        <v>79</v>
      </c>
      <c r="G20" s="75" t="s">
        <v>206</v>
      </c>
      <c r="H20" s="75" t="s">
        <v>275</v>
      </c>
      <c r="I20" s="65" t="s">
        <v>276</v>
      </c>
    </row>
    <row r="21" spans="1:9" ht="69.95" customHeight="1" x14ac:dyDescent="0.25">
      <c r="A21" s="34">
        <v>19</v>
      </c>
      <c r="B21" s="74" t="s">
        <v>69</v>
      </c>
      <c r="C21" s="63" t="s">
        <v>74</v>
      </c>
      <c r="D21" s="63" t="s">
        <v>83</v>
      </c>
      <c r="E21" s="75" t="s">
        <v>277</v>
      </c>
      <c r="F21" s="75" t="s">
        <v>80</v>
      </c>
      <c r="G21" s="75" t="s">
        <v>218</v>
      </c>
      <c r="H21" s="75" t="s">
        <v>278</v>
      </c>
      <c r="I21" s="65" t="s">
        <v>279</v>
      </c>
    </row>
    <row r="22" spans="1:9" ht="69.95" customHeight="1" x14ac:dyDescent="0.25">
      <c r="A22" s="34">
        <v>20</v>
      </c>
      <c r="B22" s="74" t="s">
        <v>69</v>
      </c>
      <c r="C22" s="63" t="s">
        <v>75</v>
      </c>
      <c r="D22" s="63" t="s">
        <v>83</v>
      </c>
      <c r="E22" s="75" t="s">
        <v>280</v>
      </c>
      <c r="F22" s="75" t="s">
        <v>78</v>
      </c>
      <c r="G22" s="75" t="s">
        <v>207</v>
      </c>
      <c r="H22" s="75" t="s">
        <v>281</v>
      </c>
      <c r="I22" s="65" t="s">
        <v>282</v>
      </c>
    </row>
    <row r="23" spans="1:9" ht="69.95" customHeight="1" x14ac:dyDescent="0.25">
      <c r="A23" s="34">
        <v>21</v>
      </c>
      <c r="B23" s="74" t="s">
        <v>69</v>
      </c>
      <c r="C23" s="63" t="s">
        <v>75</v>
      </c>
      <c r="D23" s="63" t="s">
        <v>83</v>
      </c>
      <c r="E23" s="75" t="s">
        <v>283</v>
      </c>
      <c r="F23" s="75" t="s">
        <v>78</v>
      </c>
      <c r="G23" s="75" t="s">
        <v>212</v>
      </c>
      <c r="H23" s="75" t="s">
        <v>284</v>
      </c>
      <c r="I23" s="65" t="s">
        <v>285</v>
      </c>
    </row>
    <row r="24" spans="1:9" ht="69.95" customHeight="1" x14ac:dyDescent="0.25">
      <c r="A24" s="34">
        <v>22</v>
      </c>
      <c r="B24" s="74" t="s">
        <v>69</v>
      </c>
      <c r="C24" s="63" t="s">
        <v>75</v>
      </c>
      <c r="D24" s="63" t="s">
        <v>83</v>
      </c>
      <c r="E24" s="75" t="s">
        <v>286</v>
      </c>
      <c r="F24" s="75" t="s">
        <v>79</v>
      </c>
      <c r="G24" s="75" t="s">
        <v>223</v>
      </c>
      <c r="H24" s="75" t="s">
        <v>287</v>
      </c>
      <c r="I24" s="65" t="s">
        <v>288</v>
      </c>
    </row>
    <row r="25" spans="1:9" ht="69.95" customHeight="1" x14ac:dyDescent="0.25">
      <c r="A25" s="34">
        <v>23</v>
      </c>
      <c r="B25" s="74" t="s">
        <v>69</v>
      </c>
      <c r="C25" s="63" t="s">
        <v>75</v>
      </c>
      <c r="D25" s="63" t="s">
        <v>83</v>
      </c>
      <c r="E25" s="75" t="s">
        <v>289</v>
      </c>
      <c r="F25" s="75" t="s">
        <v>80</v>
      </c>
      <c r="G25" s="75" t="s">
        <v>217</v>
      </c>
      <c r="H25" s="75" t="s">
        <v>290</v>
      </c>
      <c r="I25" s="65" t="s">
        <v>291</v>
      </c>
    </row>
    <row r="26" spans="1:9" ht="69.95" customHeight="1" x14ac:dyDescent="0.25">
      <c r="A26" s="34">
        <v>24</v>
      </c>
      <c r="B26" s="74" t="s">
        <v>69</v>
      </c>
      <c r="C26" s="63" t="s">
        <v>75</v>
      </c>
      <c r="D26" s="63" t="s">
        <v>83</v>
      </c>
      <c r="E26" s="75" t="s">
        <v>292</v>
      </c>
      <c r="F26" s="75" t="s">
        <v>80</v>
      </c>
      <c r="G26" s="75" t="s">
        <v>203</v>
      </c>
      <c r="H26" s="75" t="s">
        <v>293</v>
      </c>
      <c r="I26" s="65" t="s">
        <v>294</v>
      </c>
    </row>
    <row r="27" spans="1:9" ht="69.95" customHeight="1" x14ac:dyDescent="0.25">
      <c r="A27" s="34">
        <v>25</v>
      </c>
      <c r="B27" s="74" t="s">
        <v>69</v>
      </c>
      <c r="C27" s="63" t="s">
        <v>36</v>
      </c>
      <c r="D27" s="63" t="s">
        <v>83</v>
      </c>
      <c r="E27" s="75" t="s">
        <v>295</v>
      </c>
      <c r="F27" s="75" t="s">
        <v>78</v>
      </c>
      <c r="G27" s="75" t="s">
        <v>205</v>
      </c>
      <c r="H27" s="75" t="s">
        <v>296</v>
      </c>
      <c r="I27" s="65" t="s">
        <v>297</v>
      </c>
    </row>
    <row r="28" spans="1:9" ht="69.95" customHeight="1" x14ac:dyDescent="0.25">
      <c r="A28" s="34">
        <v>26</v>
      </c>
      <c r="B28" s="74" t="s">
        <v>69</v>
      </c>
      <c r="C28" s="63" t="s">
        <v>36</v>
      </c>
      <c r="D28" s="63" t="s">
        <v>83</v>
      </c>
      <c r="E28" s="75" t="s">
        <v>298</v>
      </c>
      <c r="F28" s="75" t="s">
        <v>78</v>
      </c>
      <c r="G28" s="75" t="s">
        <v>215</v>
      </c>
      <c r="H28" s="75" t="s">
        <v>299</v>
      </c>
      <c r="I28" s="65" t="s">
        <v>300</v>
      </c>
    </row>
    <row r="29" spans="1:9" ht="69.95" customHeight="1" x14ac:dyDescent="0.25">
      <c r="A29" s="34">
        <v>27</v>
      </c>
      <c r="B29" s="74" t="s">
        <v>69</v>
      </c>
      <c r="C29" s="63" t="s">
        <v>36</v>
      </c>
      <c r="D29" s="63" t="s">
        <v>83</v>
      </c>
      <c r="E29" s="75" t="s">
        <v>298</v>
      </c>
      <c r="F29" s="75" t="s">
        <v>78</v>
      </c>
      <c r="G29" s="75" t="s">
        <v>215</v>
      </c>
      <c r="H29" s="75" t="s">
        <v>301</v>
      </c>
      <c r="I29" s="65" t="s">
        <v>300</v>
      </c>
    </row>
    <row r="30" spans="1:9" ht="69.95" customHeight="1" x14ac:dyDescent="0.25">
      <c r="A30" s="34">
        <v>28</v>
      </c>
      <c r="B30" s="74" t="s">
        <v>69</v>
      </c>
      <c r="C30" s="63" t="s">
        <v>36</v>
      </c>
      <c r="D30" s="63" t="s">
        <v>83</v>
      </c>
      <c r="E30" s="75" t="s">
        <v>302</v>
      </c>
      <c r="F30" s="75" t="s">
        <v>80</v>
      </c>
      <c r="G30" s="75" t="s">
        <v>224</v>
      </c>
      <c r="H30" s="75" t="s">
        <v>303</v>
      </c>
      <c r="I30" s="65" t="s">
        <v>304</v>
      </c>
    </row>
    <row r="31" spans="1:9" ht="69.95" customHeight="1" x14ac:dyDescent="0.25">
      <c r="A31" s="34">
        <v>29</v>
      </c>
      <c r="B31" s="74" t="s">
        <v>69</v>
      </c>
      <c r="C31" s="63" t="s">
        <v>36</v>
      </c>
      <c r="D31" s="63" t="s">
        <v>83</v>
      </c>
      <c r="E31" s="75" t="s">
        <v>305</v>
      </c>
      <c r="F31" s="75" t="s">
        <v>80</v>
      </c>
      <c r="G31" s="75" t="s">
        <v>216</v>
      </c>
      <c r="H31" s="75" t="s">
        <v>306</v>
      </c>
      <c r="I31" s="65" t="s">
        <v>307</v>
      </c>
    </row>
    <row r="32" spans="1:9" ht="69.95" customHeight="1" thickBot="1" x14ac:dyDescent="0.3">
      <c r="A32" s="35">
        <v>30</v>
      </c>
      <c r="B32" s="76" t="s">
        <v>69</v>
      </c>
      <c r="C32" s="66" t="s">
        <v>36</v>
      </c>
      <c r="D32" s="66" t="s">
        <v>242</v>
      </c>
      <c r="E32" s="77" t="s">
        <v>308</v>
      </c>
      <c r="F32" s="77" t="s">
        <v>77</v>
      </c>
      <c r="G32" s="77" t="s">
        <v>198</v>
      </c>
      <c r="H32" s="77" t="s">
        <v>309</v>
      </c>
      <c r="I32" s="68" t="s">
        <v>310</v>
      </c>
    </row>
    <row r="33" spans="1:8" x14ac:dyDescent="0.25">
      <c r="A33" s="69"/>
      <c r="B33" s="69"/>
      <c r="C33" s="69"/>
      <c r="D33" s="70"/>
      <c r="E33" s="78"/>
      <c r="F33" s="78"/>
      <c r="G33" s="78"/>
      <c r="H33" s="78"/>
    </row>
  </sheetData>
  <sheetProtection algorithmName="SHA-512" hashValue="8IYma/FxOhiTXMkBgOZ9qYFAaiathBtHJO1p3o/8SXeDQdWomHDHuHCWzMXwJRkW1UBCZ5xdHwOt35sOYWLazQ==" saltValue="V08nX6MgZZm+xPHS0yOe6Q==" spinCount="100000" sheet="1" objects="1" scenarios="1"/>
  <mergeCells count="1">
    <mergeCell ref="A1:I1"/>
  </mergeCells>
  <hyperlinks>
    <hyperlink ref="B3" location="'Resultados Matemáticas'!A1" display="Regresar a tabla"/>
    <hyperlink ref="B4:B32" location="'Resultados Matemáticas'!A1" display="Regresar a tabla"/>
  </hyperlinks>
  <pageMargins left="0.23622047244094491" right="0.23622047244094491" top="0.15748031496062992" bottom="0.15748031496062992" header="0.31496062992125984" footer="0.31496062992125984"/>
  <pageSetup paperSize="5"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Español por escuela</vt:lpstr>
      <vt:lpstr>Resultados Español</vt:lpstr>
      <vt:lpstr>Especificaciones Español</vt:lpstr>
      <vt:lpstr>Matemáticas por escuela</vt:lpstr>
      <vt:lpstr>Resultados Matemáticas</vt:lpstr>
      <vt:lpstr>Especificaciones Matemáticas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dc:creator>
  <cp:lastModifiedBy>DANIEL</cp:lastModifiedBy>
  <cp:lastPrinted>2017-08-31T17:01:46Z</cp:lastPrinted>
  <dcterms:created xsi:type="dcterms:W3CDTF">2017-08-25T13:34:12Z</dcterms:created>
  <dcterms:modified xsi:type="dcterms:W3CDTF">2019-08-19T19:05:57Z</dcterms:modified>
</cp:coreProperties>
</file>